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作物总表" sheetId="2" state="visible" r:id="rId2"/>
    <sheet name="作物材料产出" sheetId="3" state="visible" r:id="rId3"/>
    <sheet name="材料资源" sheetId="4" state="visible" r:id="rId4"/>
    <sheet name="修为折算" sheetId="5" state="visible" r:id="rId5"/>
    <sheet name="武器" sheetId="6" state="visible" r:id="rId6"/>
    <sheet name="武器升级费用" sheetId="7" state="visible" r:id="rId7"/>
    <sheet name="技能" sheetId="8" state="visible" r:id="rId8"/>
    <sheet name="消耗品" sheetId="9" state="visible" r:id="rId9"/>
    <sheet name="Boss" sheetId="10" state="visible" r:id="rId10"/>
    <sheet name="怪物" sheetId="11" state="visible" r:id="rId11"/>
    <sheet name="地图" sheetId="12" state="visible" r:id="rId12"/>
    <sheet name="农田扩建" sheetId="13" state="visible" r:id="rId13"/>
    <sheet name="玩家与远征参数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i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8C7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9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 ht="26" customHeight="1">
      <c r="A1" s="1" t="inlineStr">
        <is>
          <t>农庄牌：荒野远征  游戏配置数据表</t>
        </is>
      </c>
    </row>
    <row r="3" ht="22" customHeight="1">
      <c r="A3" s="2" t="inlineStr">
        <is>
          <t>游戏版本</t>
        </is>
      </c>
      <c r="B3" s="3" t="inlineStr">
        <is>
          <t>5.1.0</t>
        </is>
      </c>
    </row>
    <row r="4" ht="22" customHeight="1">
      <c r="A4" s="2" t="inlineStr">
        <is>
          <t>生成日期</t>
        </is>
      </c>
      <c r="B4" s="3" t="inlineStr">
        <is>
          <t>2026-09-19</t>
        </is>
      </c>
    </row>
    <row r="5" ht="42" customHeight="1">
      <c r="A5" s="2" t="inlineStr">
        <is>
          <t>数据来源</t>
        </is>
      </c>
      <c r="B5" s="3" t="inlineStr">
        <is>
          <t>由 tools/export-game-data.js 在浏览器中加载游戏后导出运行时 CONFIG（docs/game_data.json），数值与代码一致；改数值后重跑导出+本表脚本即可刷新。</t>
        </is>
      </c>
    </row>
    <row r="6" ht="42" customHeight="1">
      <c r="A6" s="2" t="inlineStr">
        <is>
          <t>工作表清单</t>
        </is>
      </c>
      <c r="B6" s="3" t="inlineStr">
        <is>
          <t>作物总表 / 作物材料产出 / 材料资源 / 武器 / 武器升级费用 / 修为折算 / 技能 / 消耗品 / Boss / 怪物 / 地图 / 农田扩建 / 玩家与远征参数</t>
        </is>
      </c>
    </row>
    <row r="7" ht="42" customHeight="1">
      <c r="A7" s="2" t="inlineStr">
        <is>
          <t>v5.1 经济规则</t>
        </is>
      </c>
      <c r="B7" s="3" t="inlineStr">
        <is>
          <t>① 打造/升级武器所需材料只能由收获农作物产出（远征怪物仅掉落消耗品、金币，树精/宝箱掉泥土）；② 集齐材料后可自选【材料打造】或【修为抵扣】，修为只抵扣材料、金币仍需支付；③ 材料（ResourceSystem）不占仓库容量，消耗品与作物占容量。</t>
        </is>
      </c>
    </row>
    <row r="8" ht="42" customHeight="1">
      <c r="A8" s="2" t="inlineStr">
        <is>
          <t>农田</t>
        </is>
      </c>
      <c r="B8" s="3" t="inlineStr">
        <is>
          <t>共 48 格（8×6），初始 8 格，第 9 格起金币扩建，第 13 格起额外消耗植物纤维。</t>
        </is>
      </c>
    </row>
    <row r="9" ht="42" customHeight="1">
      <c r="A9" s="2" t="inlineStr">
        <is>
          <t>技能卡槽</t>
        </is>
      </c>
      <c r="B9" s="3" t="inlineStr">
        <is>
          <t>初始 1 槽，角色 Lv20/40/60/80 各 +1 槽（最多 5 槽）；准备大厅只显示修行台已装备技能。</t>
        </is>
      </c>
    </row>
    <row r="10" ht="42" customHeight="1">
      <c r="A10" s="2" t="inlineStr">
        <is>
          <t>占位数值声明</t>
        </is>
      </c>
      <c r="B10" s="3" t="inlineStr">
        <is>
          <t>作物材料掉率/数量、修为折算汇率、Boss 技能伤害系数、农田扩建费用为平衡性占位值，可在 CONFIG.cropMaterials、LoadoutSystem.CULT_PER_MAT、js/v5.js BOSS_HANDLERS、FarmSystem.getUnlockCost 中调整。</t>
        </is>
      </c>
    </row>
    <row r="11" ht="22" customHeight="1">
      <c r="A11" s="2" t="inlineStr">
        <is>
          <t>颜色约定</t>
        </is>
      </c>
      <c r="B11" s="3" t="inlineStr">
        <is>
          <t>蓝色为表头；黄色底为说明/注释；概率列以百分比存储（0.5 显示为 50%）。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2" customWidth="1" min="3" max="3"/>
    <col width="11" customWidth="1" min="4" max="4"/>
    <col width="10" customWidth="1" min="5" max="5"/>
    <col width="9" customWidth="1" min="6" max="6"/>
    <col width="9" customWidth="1" min="7" max="7"/>
    <col width="18" customWidth="1" min="8" max="8"/>
    <col width="30" customWidth="1" min="9" max="9"/>
    <col width="52" customWidth="1" min="10" max="10"/>
  </cols>
  <sheetData>
    <row r="1" ht="26" customHeight="1">
      <c r="A1" s="1" t="inlineStr">
        <is>
          <t>作物总表（23 种）</t>
        </is>
      </c>
    </row>
    <row r="2" ht="30" customHeight="1">
      <c r="A2" s="4" t="inlineStr">
        <is>
          <t>ID</t>
        </is>
      </c>
      <c r="B2" s="4" t="inlineStr">
        <is>
          <t>图标</t>
        </is>
      </c>
      <c r="C2" s="4" t="inlineStr">
        <is>
          <t>作物名称</t>
        </is>
      </c>
      <c r="D2" s="4" t="inlineStr">
        <is>
          <t>生长时间(h)</t>
        </is>
      </c>
      <c r="E2" s="4" t="inlineStr">
        <is>
          <t>种子价(金)</t>
        </is>
      </c>
      <c r="F2" s="4" t="inlineStr">
        <is>
          <t>售价(金)</t>
        </is>
      </c>
      <c r="G2" s="4" t="inlineStr">
        <is>
          <t>稀有度</t>
        </is>
      </c>
      <c r="H2" s="4" t="inlineStr">
        <is>
          <t>收获/卡牌产出</t>
        </is>
      </c>
      <c r="I2" s="4" t="inlineStr">
        <is>
          <t>材料产出（单株）</t>
        </is>
      </c>
      <c r="J2" s="4" t="inlineStr">
        <is>
          <t>特殊机制</t>
        </is>
      </c>
    </row>
    <row r="3">
      <c r="A3" s="3" t="inlineStr">
        <is>
          <t>pea_shooter</t>
        </is>
      </c>
      <c r="B3" s="5" t="inlineStr">
        <is>
          <t>🫛</t>
        </is>
      </c>
      <c r="C3" s="3" t="inlineStr">
        <is>
          <t>豌豆射手</t>
        </is>
      </c>
      <c r="D3" s="5" t="n">
        <v>24</v>
      </c>
      <c r="E3" s="6" t="n">
        <v>8</v>
      </c>
      <c r="F3" s="6" t="n">
        <v>12</v>
      </c>
      <c r="G3" s="5" t="inlineStr">
        <is>
          <t>稀有</t>
        </is>
      </c>
      <c r="H3" s="3" t="inlineStr">
        <is>
          <t>必得攻击卡</t>
        </is>
      </c>
      <c r="I3" s="3" t="inlineStr">
        <is>
          <t>木材 50%×1</t>
        </is>
      </c>
      <c r="J3" s="3" t="inlineStr">
        <is>
          <t>可反复收获3次。</t>
        </is>
      </c>
    </row>
    <row r="4">
      <c r="A4" s="3" t="inlineStr">
        <is>
          <t>sunflower</t>
        </is>
      </c>
      <c r="B4" s="5" t="inlineStr">
        <is>
          <t>🌻</t>
        </is>
      </c>
      <c r="C4" s="3" t="inlineStr">
        <is>
          <t>向日葵</t>
        </is>
      </c>
      <c r="D4" s="5" t="n">
        <v>18</v>
      </c>
      <c r="E4" s="6" t="n">
        <v>6</v>
      </c>
      <c r="F4" s="6" t="n">
        <v>45</v>
      </c>
      <c r="G4" s="5" t="inlineStr">
        <is>
          <t>普通</t>
        </is>
      </c>
      <c r="H4" s="3" t="inlineStr">
        <is>
          <t>永久技能强化卡</t>
        </is>
      </c>
      <c r="I4" s="3" t="inlineStr">
        <is>
          <t>植物纤维 40%×1</t>
        </is>
      </c>
      <c r="J4" s="3" t="inlineStr"/>
    </row>
    <row r="5">
      <c r="A5" s="3" t="inlineStr">
        <is>
          <t>watermelon</t>
        </is>
      </c>
      <c r="B5" s="5" t="inlineStr">
        <is>
          <t>🍉</t>
        </is>
      </c>
      <c r="C5" s="3" t="inlineStr">
        <is>
          <t>西瓜</t>
        </is>
      </c>
      <c r="D5" s="5" t="n">
        <v>36</v>
      </c>
      <c r="E5" s="6" t="n">
        <v>15</v>
      </c>
      <c r="F5" s="6" t="n">
        <v>20</v>
      </c>
      <c r="G5" s="5" t="inlineStr">
        <is>
          <t>稀有</t>
        </is>
      </c>
      <c r="H5" s="3" t="inlineStr">
        <is>
          <t>一次性技能卡</t>
        </is>
      </c>
      <c r="I5" s="3" t="inlineStr">
        <is>
          <t>晶核 35%×1</t>
        </is>
      </c>
      <c r="J5" s="3" t="inlineStr"/>
    </row>
    <row r="6">
      <c r="A6" s="3" t="inlineStr">
        <is>
          <t>cabbage</t>
        </is>
      </c>
      <c r="B6" s="5" t="inlineStr">
        <is>
          <t>🥬</t>
        </is>
      </c>
      <c r="C6" s="3" t="inlineStr">
        <is>
          <t>卷心菜</t>
        </is>
      </c>
      <c r="D6" s="5" t="n">
        <v>28</v>
      </c>
      <c r="E6" s="6" t="n">
        <v>10</v>
      </c>
      <c r="F6" s="6" t="n">
        <v>18</v>
      </c>
      <c r="G6" s="5" t="inlineStr">
        <is>
          <t>普通</t>
        </is>
      </c>
      <c r="H6" s="3" t="inlineStr">
        <is>
          <t>草药包扎包</t>
        </is>
      </c>
      <c r="I6" s="3" t="inlineStr">
        <is>
          <t>植物纤维 50%×1</t>
        </is>
      </c>
      <c r="J6" s="3" t="inlineStr"/>
    </row>
    <row r="7">
      <c r="A7" s="3" t="inlineStr">
        <is>
          <t>wheat</t>
        </is>
      </c>
      <c r="B7" s="5" t="inlineStr">
        <is>
          <t>🌾</t>
        </is>
      </c>
      <c r="C7" s="3" t="inlineStr">
        <is>
          <t>小麦</t>
        </is>
      </c>
      <c r="D7" s="5" t="n">
        <v>15</v>
      </c>
      <c r="E7" s="6" t="n">
        <v>5</v>
      </c>
      <c r="F7" s="6" t="n">
        <v>15</v>
      </c>
      <c r="G7" s="5" t="inlineStr">
        <is>
          <t>普通</t>
        </is>
      </c>
      <c r="H7" s="3" t="inlineStr">
        <is>
          <t>金币</t>
        </is>
      </c>
      <c r="I7" s="3" t="inlineStr">
        <is>
          <t>植物纤维 70%×1</t>
        </is>
      </c>
      <c r="J7" s="3" t="inlineStr"/>
    </row>
    <row r="8">
      <c r="A8" s="3" t="inlineStr">
        <is>
          <t>carrot</t>
        </is>
      </c>
      <c r="B8" s="5" t="inlineStr">
        <is>
          <t>🥕</t>
        </is>
      </c>
      <c r="C8" s="3" t="inlineStr">
        <is>
          <t>胡萝卜</t>
        </is>
      </c>
      <c r="D8" s="5" t="n">
        <v>20</v>
      </c>
      <c r="E8" s="6" t="n">
        <v>10</v>
      </c>
      <c r="F8" s="6" t="n">
        <v>25</v>
      </c>
      <c r="G8" s="5" t="inlineStr">
        <is>
          <t>普通</t>
        </is>
      </c>
      <c r="H8" s="3" t="inlineStr">
        <is>
          <t>—</t>
        </is>
      </c>
      <c r="I8" s="3" t="inlineStr">
        <is>
          <t>堆肥 30%×1</t>
        </is>
      </c>
      <c r="J8" s="3" t="inlineStr"/>
    </row>
    <row r="9">
      <c r="A9" s="3" t="inlineStr">
        <is>
          <t>corn</t>
        </is>
      </c>
      <c r="B9" s="5" t="inlineStr">
        <is>
          <t>🌽</t>
        </is>
      </c>
      <c r="C9" s="3" t="inlineStr">
        <is>
          <t>玉米</t>
        </is>
      </c>
      <c r="D9" s="5" t="n">
        <v>30</v>
      </c>
      <c r="E9" s="6" t="n">
        <v>15</v>
      </c>
      <c r="F9" s="6" t="n">
        <v>45</v>
      </c>
      <c r="G9" s="5" t="inlineStr">
        <is>
          <t>稀有</t>
        </is>
      </c>
      <c r="H9" s="3" t="inlineStr">
        <is>
          <t>—</t>
        </is>
      </c>
      <c r="I9" s="3" t="inlineStr">
        <is>
          <t>—（无打造材料）</t>
        </is>
      </c>
      <c r="J9" s="3" t="inlineStr"/>
    </row>
    <row r="10">
      <c r="A10" s="3" t="inlineStr">
        <is>
          <t>pumpkin</t>
        </is>
      </c>
      <c r="B10" s="5" t="inlineStr">
        <is>
          <t>🎃</t>
        </is>
      </c>
      <c r="C10" s="3" t="inlineStr">
        <is>
          <t>南瓜</t>
        </is>
      </c>
      <c r="D10" s="5" t="n">
        <v>45</v>
      </c>
      <c r="E10" s="6" t="n">
        <v>25</v>
      </c>
      <c r="F10" s="6" t="n">
        <v>80</v>
      </c>
      <c r="G10" s="5" t="inlineStr">
        <is>
          <t>稀有</t>
        </is>
      </c>
      <c r="H10" s="3" t="inlineStr">
        <is>
          <t>—</t>
        </is>
      </c>
      <c r="I10" s="3" t="inlineStr">
        <is>
          <t>—（无打造材料）</t>
        </is>
      </c>
      <c r="J10" s="3" t="inlineStr"/>
    </row>
    <row r="11">
      <c r="A11" s="3" t="inlineStr">
        <is>
          <t>moon_rice</t>
        </is>
      </c>
      <c r="B11" s="5" t="inlineStr">
        <is>
          <t>✨</t>
        </is>
      </c>
      <c r="C11" s="3" t="inlineStr">
        <is>
          <t>月光稻</t>
        </is>
      </c>
      <c r="D11" s="5" t="n">
        <v>60</v>
      </c>
      <c r="E11" s="6" t="n">
        <v>0</v>
      </c>
      <c r="F11" s="6" t="n">
        <v>200</v>
      </c>
      <c r="G11" s="5" t="inlineStr">
        <is>
          <t>传说</t>
        </is>
      </c>
      <c r="H11" s="3" t="inlineStr">
        <is>
          <t>—</t>
        </is>
      </c>
      <c r="I11" s="3" t="inlineStr">
        <is>
          <t>—（无打造材料）</t>
        </is>
      </c>
      <c r="J11" s="3" t="inlineStr"/>
    </row>
    <row r="12">
      <c r="A12" s="3" t="inlineStr">
        <is>
          <t>ningqi_grass</t>
        </is>
      </c>
      <c r="B12" s="5" t="inlineStr">
        <is>
          <t>🌱</t>
        </is>
      </c>
      <c r="C12" s="3" t="inlineStr">
        <is>
          <t>凝气草</t>
        </is>
      </c>
      <c r="D12" s="5" t="n">
        <v>30</v>
      </c>
      <c r="E12" s="6" t="n">
        <v>20</v>
      </c>
      <c r="F12" s="6" t="n">
        <v>12</v>
      </c>
      <c r="G12" s="5" t="inlineStr">
        <is>
          <t>修为作物</t>
        </is>
      </c>
      <c r="H12" s="3" t="inlineStr">
        <is>
          <t>修为+10</t>
        </is>
      </c>
      <c r="I12" s="3" t="inlineStr">
        <is>
          <t>—（无打造材料）</t>
        </is>
      </c>
      <c r="J12" s="3" t="inlineStr">
        <is>
          <t>修为作物，收获转化为修为。</t>
        </is>
      </c>
    </row>
    <row r="13">
      <c r="A13" s="3" t="inlineStr">
        <is>
          <t>lingsui_wheat</t>
        </is>
      </c>
      <c r="B13" s="5" t="inlineStr">
        <is>
          <t>🌾</t>
        </is>
      </c>
      <c r="C13" s="3" t="inlineStr">
        <is>
          <t>灵穗麦</t>
        </is>
      </c>
      <c r="D13" s="5" t="n">
        <v>60</v>
      </c>
      <c r="E13" s="6" t="n">
        <v>60</v>
      </c>
      <c r="F13" s="6" t="n">
        <v>30</v>
      </c>
      <c r="G13" s="5" t="inlineStr">
        <is>
          <t>修为作物</t>
        </is>
      </c>
      <c r="H13" s="3" t="inlineStr">
        <is>
          <t>修为+28</t>
        </is>
      </c>
      <c r="I13" s="3" t="inlineStr">
        <is>
          <t>—（无打造材料）</t>
        </is>
      </c>
      <c r="J13" s="3" t="inlineStr">
        <is>
          <t>修为作物，Lv15 解锁。</t>
        </is>
      </c>
    </row>
    <row r="14">
      <c r="A14" s="3" t="inlineStr">
        <is>
          <t>chili</t>
        </is>
      </c>
      <c r="B14" s="5" t="inlineStr">
        <is>
          <t>🌶️</t>
        </is>
      </c>
      <c r="C14" s="3" t="inlineStr">
        <is>
          <t>辣椒</t>
        </is>
      </c>
      <c r="D14" s="5" t="n">
        <v>12</v>
      </c>
      <c r="E14" s="6" t="n">
        <v>8</v>
      </c>
      <c r="F14" s="6" t="n">
        <v>20</v>
      </c>
      <c r="G14" s="5" t="inlineStr">
        <is>
          <t>普通</t>
        </is>
      </c>
      <c r="H14" s="3" t="inlineStr">
        <is>
          <t>—</t>
        </is>
      </c>
      <c r="I14" s="3" t="inlineStr">
        <is>
          <t>毒腺 30%×1</t>
        </is>
      </c>
      <c r="J14" s="3" t="inlineStr">
        <is>
          <t>收获后获得辣味buff，下一次远征攻击+15%（可叠加3层）</t>
        </is>
      </c>
    </row>
    <row r="15">
      <c r="A15" s="3" t="inlineStr">
        <is>
          <t>garlic</t>
        </is>
      </c>
      <c r="B15" s="5" t="inlineStr">
        <is>
          <t>🧄</t>
        </is>
      </c>
      <c r="C15" s="3" t="inlineStr">
        <is>
          <t>大蒜</t>
        </is>
      </c>
      <c r="D15" s="5" t="n">
        <v>25</v>
      </c>
      <c r="E15" s="6" t="n">
        <v>12</v>
      </c>
      <c r="F15" s="6" t="n">
        <v>30</v>
      </c>
      <c r="G15" s="5" t="inlineStr">
        <is>
          <t>普通</t>
        </is>
      </c>
      <c r="H15" s="3" t="inlineStr">
        <is>
          <t>—</t>
        </is>
      </c>
      <c r="I15" s="3" t="inlineStr">
        <is>
          <t>植物纤维 45%×1</t>
        </is>
      </c>
      <c r="J15" s="3" t="inlineStr">
        <is>
          <t>收获后获得驱虫buff，远征中雾天视野不缩减，持续2场</t>
        </is>
      </c>
    </row>
    <row r="16">
      <c r="A16" s="3" t="inlineStr">
        <is>
          <t>mint</t>
        </is>
      </c>
      <c r="B16" s="5" t="inlineStr">
        <is>
          <t>🌿</t>
        </is>
      </c>
      <c r="C16" s="3" t="inlineStr">
        <is>
          <t>薄荷</t>
        </is>
      </c>
      <c r="D16" s="5" t="n">
        <v>14</v>
      </c>
      <c r="E16" s="6" t="n">
        <v>10</v>
      </c>
      <c r="F16" s="6" t="n">
        <v>18</v>
      </c>
      <c r="G16" s="5" t="inlineStr">
        <is>
          <t>普通</t>
        </is>
      </c>
      <c r="H16" s="3" t="inlineStr">
        <is>
          <t>—</t>
        </is>
      </c>
      <c r="I16" s="3" t="inlineStr">
        <is>
          <t>植物纤维 40%×1</t>
        </is>
      </c>
      <c r="J16" s="3" t="inlineStr">
        <is>
          <t>可反复收获3次。生长快、可反复收获3次。收获后获得清醒buff，完美闪避窗口+30ms</t>
        </is>
      </c>
    </row>
    <row r="17">
      <c r="A17" s="3" t="inlineStr">
        <is>
          <t>cactus</t>
        </is>
      </c>
      <c r="B17" s="5" t="inlineStr">
        <is>
          <t>🌵</t>
        </is>
      </c>
      <c r="C17" s="3" t="inlineStr">
        <is>
          <t>仙人掌</t>
        </is>
      </c>
      <c r="D17" s="5" t="n">
        <v>35</v>
      </c>
      <c r="E17" s="6" t="n">
        <v>15</v>
      </c>
      <c r="F17" s="6" t="n">
        <v>40</v>
      </c>
      <c r="G17" s="5" t="inlineStr">
        <is>
          <t>稀有</t>
        </is>
      </c>
      <c r="H17" s="3" t="inlineStr">
        <is>
          <t>—</t>
        </is>
      </c>
      <c r="I17" s="3" t="inlineStr">
        <is>
          <t>石料 50%×1；甲壳 40%×1；铁矿 32%×1</t>
        </is>
      </c>
      <c r="J17" s="3" t="inlineStr">
        <is>
          <t>极耐旱，周围4格作物干旱免疫。收获获得刺甲buff，受击反弹10%伤害</t>
        </is>
      </c>
    </row>
    <row r="18">
      <c r="A18" s="3" t="inlineStr">
        <is>
          <t>rice</t>
        </is>
      </c>
      <c r="B18" s="5" t="inlineStr">
        <is>
          <t>🌾</t>
        </is>
      </c>
      <c r="C18" s="3" t="inlineStr">
        <is>
          <t>水稻</t>
        </is>
      </c>
      <c r="D18" s="5" t="n">
        <v>28</v>
      </c>
      <c r="E18" s="6" t="n">
        <v>12</v>
      </c>
      <c r="F18" s="6" t="n">
        <v>35</v>
      </c>
      <c r="G18" s="5" t="inlineStr">
        <is>
          <t>普通</t>
        </is>
      </c>
      <c r="H18" s="3" t="inlineStr">
        <is>
          <t>—</t>
        </is>
      </c>
      <c r="I18" s="3" t="inlineStr">
        <is>
          <t>植物纤维 80%×1</t>
        </is>
      </c>
      <c r="J18" s="3" t="inlineStr">
        <is>
          <t>需水田格子，雨天生长速度×2，雾天品质+1级</t>
        </is>
      </c>
    </row>
    <row r="19">
      <c r="A19" s="3" t="inlineStr">
        <is>
          <t>ginseng</t>
        </is>
      </c>
      <c r="B19" s="5" t="inlineStr">
        <is>
          <t>🫚</t>
        </is>
      </c>
      <c r="C19" s="3" t="inlineStr">
        <is>
          <t>人参</t>
        </is>
      </c>
      <c r="D19" s="5" t="n">
        <v>72</v>
      </c>
      <c r="E19" s="6" t="n">
        <v>50</v>
      </c>
      <c r="F19" s="6" t="n">
        <v>150</v>
      </c>
      <c r="G19" s="5" t="inlineStr">
        <is>
          <t>传说</t>
        </is>
      </c>
      <c r="H19" s="3" t="inlineStr">
        <is>
          <t>—</t>
        </is>
      </c>
      <c r="I19" s="3" t="inlineStr">
        <is>
          <t>木材 80%×2；巨兽獠牙 25%×1</t>
        </is>
      </c>
      <c r="J19" s="3" t="inlineStr">
        <is>
          <t>生长极慢（3天），收获时50%概率千年人参（售价×10+所有NPC好感+10）</t>
        </is>
      </c>
    </row>
    <row r="20">
      <c r="A20" s="3" t="inlineStr">
        <is>
          <t>tomato</t>
        </is>
      </c>
      <c r="B20" s="5" t="inlineStr">
        <is>
          <t>🍅</t>
        </is>
      </c>
      <c r="C20" s="3" t="inlineStr">
        <is>
          <t>番茄</t>
        </is>
      </c>
      <c r="D20" s="5" t="n">
        <v>22</v>
      </c>
      <c r="E20" s="6" t="n">
        <v>10</v>
      </c>
      <c r="F20" s="6" t="n">
        <v>25</v>
      </c>
      <c r="G20" s="5" t="inlineStr">
        <is>
          <t>普通</t>
        </is>
      </c>
      <c r="H20" s="3" t="inlineStr">
        <is>
          <t>—</t>
        </is>
      </c>
      <c r="I20" s="3" t="inlineStr">
        <is>
          <t>植物纤维 35%×1</t>
        </is>
      </c>
      <c r="J20" s="3" t="inlineStr">
        <is>
          <t>与薄荷/大蒜相邻触发意式组合→双方品质+1级。可加工为番茄酱（远征回血）</t>
        </is>
      </c>
    </row>
    <row r="21">
      <c r="A21" s="3" t="inlineStr">
        <is>
          <t>rosemary</t>
        </is>
      </c>
      <c r="B21" s="5" t="inlineStr">
        <is>
          <t>🌱</t>
        </is>
      </c>
      <c r="C21" s="3" t="inlineStr">
        <is>
          <t>迷迭香</t>
        </is>
      </c>
      <c r="D21" s="5" t="n">
        <v>30</v>
      </c>
      <c r="E21" s="6" t="n">
        <v>15</v>
      </c>
      <c r="F21" s="6" t="n">
        <v>35</v>
      </c>
      <c r="G21" s="5" t="inlineStr">
        <is>
          <t>稀有</t>
        </is>
      </c>
      <c r="H21" s="3" t="inlineStr">
        <is>
          <t>—</t>
        </is>
      </c>
      <c r="I21" s="3" t="inlineStr">
        <is>
          <t>植物纤维 45%×1</t>
        </is>
      </c>
      <c r="J21" s="3" t="inlineStr">
        <is>
          <t>可反复收获3次。可反复收获。收获后获得记忆buff，远征技能冷却-10%（传说-25%）</t>
        </is>
      </c>
    </row>
    <row r="22">
      <c r="A22" s="3" t="inlineStr">
        <is>
          <t>frost_flower</t>
        </is>
      </c>
      <c r="B22" s="5" t="inlineStr">
        <is>
          <t>❄️</t>
        </is>
      </c>
      <c r="C22" s="3" t="inlineStr">
        <is>
          <t>寒霜花</t>
        </is>
      </c>
      <c r="D22" s="5" t="n">
        <v>30</v>
      </c>
      <c r="E22" s="6" t="n">
        <v>18</v>
      </c>
      <c r="F22" s="6" t="n">
        <v>55</v>
      </c>
      <c r="G22" s="5" t="inlineStr">
        <is>
          <t>稀有</t>
        </is>
      </c>
      <c r="H22" s="3" t="inlineStr">
        <is>
          <t>—</t>
        </is>
      </c>
      <c r="I22" s="3" t="inlineStr">
        <is>
          <t>晶核 65%×1</t>
        </is>
      </c>
      <c r="J22" s="3" t="inlineStr">
        <is>
          <t>远征寒霜花种子培育而成。收获后获得寒霜护体，完美闪避窗口+25ms</t>
        </is>
      </c>
    </row>
    <row r="23">
      <c r="A23" s="3" t="inlineStr">
        <is>
          <t>lightning_vine</t>
        </is>
      </c>
      <c r="B23" s="5" t="inlineStr">
        <is>
          <t>⚡</t>
        </is>
      </c>
      <c r="C23" s="3" t="inlineStr">
        <is>
          <t>电藤</t>
        </is>
      </c>
      <c r="D23" s="5" t="n">
        <v>36</v>
      </c>
      <c r="E23" s="6" t="n">
        <v>22</v>
      </c>
      <c r="F23" s="6" t="n">
        <v>80</v>
      </c>
      <c r="G23" s="5" t="inlineStr">
        <is>
          <t>稀有</t>
        </is>
      </c>
      <c r="H23" s="3" t="inlineStr">
        <is>
          <t>—</t>
        </is>
      </c>
      <c r="I23" s="3" t="inlineStr">
        <is>
          <t>铁矿 55%×2；晶核 20%×1；精铁锭 6%×1</t>
        </is>
      </c>
      <c r="J23" s="3" t="inlineStr">
        <is>
          <t>缠绕电光的藤蔓。收获后获得疾电buff，远征技能冷却-12%</t>
        </is>
      </c>
    </row>
    <row r="24">
      <c r="A24" s="3" t="inlineStr">
        <is>
          <t>shadow_flower</t>
        </is>
      </c>
      <c r="B24" s="5" t="inlineStr">
        <is>
          <t>🌑</t>
        </is>
      </c>
      <c r="C24" s="3" t="inlineStr">
        <is>
          <t>暗影花</t>
        </is>
      </c>
      <c r="D24" s="5" t="n">
        <v>45</v>
      </c>
      <c r="E24" s="6" t="n">
        <v>32</v>
      </c>
      <c r="F24" s="6" t="n">
        <v>100</v>
      </c>
      <c r="G24" s="5" t="inlineStr">
        <is>
          <t>史诗</t>
        </is>
      </c>
      <c r="H24" s="3" t="inlineStr">
        <is>
          <t>—</t>
        </is>
      </c>
      <c r="I24" s="3" t="inlineStr">
        <is>
          <t>晶核 50%×1；魂烬 45%×1</t>
        </is>
      </c>
      <c r="J24" s="3" t="inlineStr">
        <is>
          <t>只在阴影中绽放。收获后获得暗影步，完美闪避窗口+40ms，持续2场</t>
        </is>
      </c>
    </row>
    <row r="25">
      <c r="A25" s="3" t="inlineStr">
        <is>
          <t>deathcap</t>
        </is>
      </c>
      <c r="B25" s="5" t="inlineStr">
        <is>
          <t>🍄</t>
        </is>
      </c>
      <c r="C25" s="3" t="inlineStr">
        <is>
          <t>亡语菇</t>
        </is>
      </c>
      <c r="D25" s="5" t="n">
        <v>48</v>
      </c>
      <c r="E25" s="6" t="n">
        <v>35</v>
      </c>
      <c r="F25" s="6" t="n">
        <v>120</v>
      </c>
      <c r="G25" s="5" t="inlineStr">
        <is>
          <t>史诗</t>
        </is>
      </c>
      <c r="H25" s="3" t="inlineStr">
        <is>
          <t>—</t>
        </is>
      </c>
      <c r="I25" s="3" t="inlineStr">
        <is>
          <t>毒腺 70%×1；魂烬 50%×1；巨兽獠牙 12%×1</t>
        </is>
      </c>
      <c r="J25" s="3" t="inlineStr">
        <is>
          <t>T3远征亡语菇种子培育而成。收获后获得剧毒之力，下一次远征攻击+20%（可叠加3层）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6" customWidth="1" min="3" max="3"/>
    <col width="13" customWidth="1" min="4" max="4"/>
    <col width="12" customWidth="1" min="5" max="5"/>
    <col width="8" customWidth="1" min="6" max="6"/>
    <col width="10" customWidth="1" min="7" max="7"/>
    <col width="8" customWidth="1" min="8" max="8"/>
    <col width="12" customWidth="1" min="9" max="9"/>
  </cols>
  <sheetData>
    <row r="1" ht="26" customHeight="1">
      <c r="A1" s="1" t="inlineStr">
        <is>
          <t>作物 → 打造材料 掉率明细（品质越高数量越多）</t>
        </is>
      </c>
    </row>
    <row r="2" ht="30" customHeight="1">
      <c r="A2" s="4" t="inlineStr">
        <is>
          <t>作物ID</t>
        </is>
      </c>
      <c r="B2" s="4" t="inlineStr">
        <is>
          <t>作物</t>
        </is>
      </c>
      <c r="C2" s="4" t="inlineStr">
        <is>
          <t>图标</t>
        </is>
      </c>
      <c r="D2" s="4" t="inlineStr">
        <is>
          <t>材料ID</t>
        </is>
      </c>
      <c r="E2" s="4" t="inlineStr">
        <is>
          <t>材料</t>
        </is>
      </c>
      <c r="F2" s="4" t="inlineStr">
        <is>
          <t>材料图标</t>
        </is>
      </c>
      <c r="G2" s="4" t="inlineStr">
        <is>
          <t>单株概率</t>
        </is>
      </c>
      <c r="H2" s="4" t="inlineStr">
        <is>
          <t>数量</t>
        </is>
      </c>
      <c r="I2" s="4" t="inlineStr">
        <is>
          <t>期望产出/株</t>
        </is>
      </c>
    </row>
    <row r="3">
      <c r="A3" s="3" t="inlineStr">
        <is>
          <t>pea_shooter</t>
        </is>
      </c>
      <c r="B3" s="3" t="inlineStr">
        <is>
          <t>豌豆射手</t>
        </is>
      </c>
      <c r="C3" s="5" t="inlineStr">
        <is>
          <t>🫛</t>
        </is>
      </c>
      <c r="D3" s="3" t="inlineStr">
        <is>
          <t>wood</t>
        </is>
      </c>
      <c r="E3" s="3" t="inlineStr">
        <is>
          <t>木材</t>
        </is>
      </c>
      <c r="F3" s="5" t="inlineStr">
        <is>
          <t>🪵</t>
        </is>
      </c>
      <c r="G3" s="7" t="n">
        <v>0.5</v>
      </c>
      <c r="H3" s="6" t="n">
        <v>1</v>
      </c>
      <c r="I3" s="8">
        <f>G3*H3</f>
        <v/>
      </c>
    </row>
    <row r="4">
      <c r="A4" s="3" t="inlineStr">
        <is>
          <t>sunflower</t>
        </is>
      </c>
      <c r="B4" s="3" t="inlineStr">
        <is>
          <t>向日葵</t>
        </is>
      </c>
      <c r="C4" s="5" t="inlineStr">
        <is>
          <t>🌻</t>
        </is>
      </c>
      <c r="D4" s="3" t="inlineStr">
        <is>
          <t>fiber</t>
        </is>
      </c>
      <c r="E4" s="3" t="inlineStr">
        <is>
          <t>植物纤维</t>
        </is>
      </c>
      <c r="F4" s="5" t="inlineStr">
        <is>
          <t>🌾</t>
        </is>
      </c>
      <c r="G4" s="7" t="n">
        <v>0.4</v>
      </c>
      <c r="H4" s="6" t="n">
        <v>1</v>
      </c>
      <c r="I4" s="8">
        <f>G4*H4</f>
        <v/>
      </c>
    </row>
    <row r="5">
      <c r="A5" s="3" t="inlineStr">
        <is>
          <t>watermelon</t>
        </is>
      </c>
      <c r="B5" s="3" t="inlineStr">
        <is>
          <t>西瓜</t>
        </is>
      </c>
      <c r="C5" s="5" t="inlineStr">
        <is>
          <t>🍉</t>
        </is>
      </c>
      <c r="D5" s="3" t="inlineStr">
        <is>
          <t>crystal</t>
        </is>
      </c>
      <c r="E5" s="3" t="inlineStr">
        <is>
          <t>晶核</t>
        </is>
      </c>
      <c r="F5" s="5" t="inlineStr">
        <is>
          <t>💎</t>
        </is>
      </c>
      <c r="G5" s="7" t="n">
        <v>0.35</v>
      </c>
      <c r="H5" s="6" t="n">
        <v>1</v>
      </c>
      <c r="I5" s="8">
        <f>G5*H5</f>
        <v/>
      </c>
    </row>
    <row r="6">
      <c r="A6" s="3" t="inlineStr">
        <is>
          <t>cabbage</t>
        </is>
      </c>
      <c r="B6" s="3" t="inlineStr">
        <is>
          <t>卷心菜</t>
        </is>
      </c>
      <c r="C6" s="5" t="inlineStr">
        <is>
          <t>🥬</t>
        </is>
      </c>
      <c r="D6" s="3" t="inlineStr">
        <is>
          <t>fiber</t>
        </is>
      </c>
      <c r="E6" s="3" t="inlineStr">
        <is>
          <t>植物纤维</t>
        </is>
      </c>
      <c r="F6" s="5" t="inlineStr">
        <is>
          <t>🌾</t>
        </is>
      </c>
      <c r="G6" s="7" t="n">
        <v>0.5</v>
      </c>
      <c r="H6" s="6" t="n">
        <v>1</v>
      </c>
      <c r="I6" s="8">
        <f>G6*H6</f>
        <v/>
      </c>
    </row>
    <row r="7">
      <c r="A7" s="3" t="inlineStr">
        <is>
          <t>wheat</t>
        </is>
      </c>
      <c r="B7" s="3" t="inlineStr">
        <is>
          <t>小麦</t>
        </is>
      </c>
      <c r="C7" s="5" t="inlineStr">
        <is>
          <t>🌾</t>
        </is>
      </c>
      <c r="D7" s="3" t="inlineStr">
        <is>
          <t>fiber</t>
        </is>
      </c>
      <c r="E7" s="3" t="inlineStr">
        <is>
          <t>植物纤维</t>
        </is>
      </c>
      <c r="F7" s="5" t="inlineStr">
        <is>
          <t>🌾</t>
        </is>
      </c>
      <c r="G7" s="7" t="n">
        <v>0.7</v>
      </c>
      <c r="H7" s="6" t="n">
        <v>1</v>
      </c>
      <c r="I7" s="8">
        <f>G7*H7</f>
        <v/>
      </c>
    </row>
    <row r="8">
      <c r="A8" s="3" t="inlineStr">
        <is>
          <t>carrot</t>
        </is>
      </c>
      <c r="B8" s="3" t="inlineStr">
        <is>
          <t>胡萝卜</t>
        </is>
      </c>
      <c r="C8" s="5" t="inlineStr">
        <is>
          <t>🥕</t>
        </is>
      </c>
      <c r="D8" s="3" t="inlineStr">
        <is>
          <t>compost</t>
        </is>
      </c>
      <c r="E8" s="3" t="inlineStr">
        <is>
          <t>堆肥</t>
        </is>
      </c>
      <c r="F8" s="5" t="inlineStr">
        <is>
          <t>🍂</t>
        </is>
      </c>
      <c r="G8" s="7" t="n">
        <v>0.3</v>
      </c>
      <c r="H8" s="6" t="n">
        <v>1</v>
      </c>
      <c r="I8" s="8">
        <f>G8*H8</f>
        <v/>
      </c>
    </row>
    <row r="9">
      <c r="A9" s="3" t="inlineStr">
        <is>
          <t>chili</t>
        </is>
      </c>
      <c r="B9" s="3" t="inlineStr">
        <is>
          <t>辣椒</t>
        </is>
      </c>
      <c r="C9" s="5" t="inlineStr">
        <is>
          <t>🌶️</t>
        </is>
      </c>
      <c r="D9" s="3" t="inlineStr">
        <is>
          <t>venom</t>
        </is>
      </c>
      <c r="E9" s="3" t="inlineStr">
        <is>
          <t>毒腺</t>
        </is>
      </c>
      <c r="F9" s="5" t="inlineStr">
        <is>
          <t>🧪</t>
        </is>
      </c>
      <c r="G9" s="7" t="n">
        <v>0.3</v>
      </c>
      <c r="H9" s="6" t="n">
        <v>1</v>
      </c>
      <c r="I9" s="8">
        <f>G9*H9</f>
        <v/>
      </c>
    </row>
    <row r="10">
      <c r="A10" s="3" t="inlineStr">
        <is>
          <t>garlic</t>
        </is>
      </c>
      <c r="B10" s="3" t="inlineStr">
        <is>
          <t>大蒜</t>
        </is>
      </c>
      <c r="C10" s="5" t="inlineStr">
        <is>
          <t>🧄</t>
        </is>
      </c>
      <c r="D10" s="3" t="inlineStr">
        <is>
          <t>fiber</t>
        </is>
      </c>
      <c r="E10" s="3" t="inlineStr">
        <is>
          <t>植物纤维</t>
        </is>
      </c>
      <c r="F10" s="5" t="inlineStr">
        <is>
          <t>🌾</t>
        </is>
      </c>
      <c r="G10" s="7" t="n">
        <v>0.45</v>
      </c>
      <c r="H10" s="6" t="n">
        <v>1</v>
      </c>
      <c r="I10" s="8">
        <f>G10*H10</f>
        <v/>
      </c>
    </row>
    <row r="11">
      <c r="A11" s="3" t="inlineStr">
        <is>
          <t>mint</t>
        </is>
      </c>
      <c r="B11" s="3" t="inlineStr">
        <is>
          <t>薄荷</t>
        </is>
      </c>
      <c r="C11" s="5" t="inlineStr">
        <is>
          <t>🌿</t>
        </is>
      </c>
      <c r="D11" s="3" t="inlineStr">
        <is>
          <t>fiber</t>
        </is>
      </c>
      <c r="E11" s="3" t="inlineStr">
        <is>
          <t>植物纤维</t>
        </is>
      </c>
      <c r="F11" s="5" t="inlineStr">
        <is>
          <t>🌾</t>
        </is>
      </c>
      <c r="G11" s="7" t="n">
        <v>0.4</v>
      </c>
      <c r="H11" s="6" t="n">
        <v>1</v>
      </c>
      <c r="I11" s="8">
        <f>G11*H11</f>
        <v/>
      </c>
    </row>
    <row r="12">
      <c r="A12" s="3" t="inlineStr">
        <is>
          <t>cactus</t>
        </is>
      </c>
      <c r="B12" s="3" t="inlineStr">
        <is>
          <t>仙人掌</t>
        </is>
      </c>
      <c r="C12" s="5" t="inlineStr">
        <is>
          <t>🌵</t>
        </is>
      </c>
      <c r="D12" s="3" t="inlineStr">
        <is>
          <t>stone</t>
        </is>
      </c>
      <c r="E12" s="3" t="inlineStr">
        <is>
          <t>石料</t>
        </is>
      </c>
      <c r="F12" s="5" t="inlineStr">
        <is>
          <t>🪨</t>
        </is>
      </c>
      <c r="G12" s="7" t="n">
        <v>0.5</v>
      </c>
      <c r="H12" s="6" t="n">
        <v>1</v>
      </c>
      <c r="I12" s="8">
        <f>G12*H12</f>
        <v/>
      </c>
    </row>
    <row r="13">
      <c r="A13" s="3" t="inlineStr">
        <is>
          <t>cactus</t>
        </is>
      </c>
      <c r="B13" s="3" t="inlineStr">
        <is>
          <t>仙人掌</t>
        </is>
      </c>
      <c r="C13" s="5" t="inlineStr">
        <is>
          <t>🌵</t>
        </is>
      </c>
      <c r="D13" s="3" t="inlineStr">
        <is>
          <t>carapace</t>
        </is>
      </c>
      <c r="E13" s="3" t="inlineStr">
        <is>
          <t>甲壳</t>
        </is>
      </c>
      <c r="F13" s="5" t="inlineStr">
        <is>
          <t>🐚</t>
        </is>
      </c>
      <c r="G13" s="7" t="n">
        <v>0.4</v>
      </c>
      <c r="H13" s="6" t="n">
        <v>1</v>
      </c>
      <c r="I13" s="8">
        <f>G13*H13</f>
        <v/>
      </c>
    </row>
    <row r="14">
      <c r="A14" s="3" t="inlineStr">
        <is>
          <t>cactus</t>
        </is>
      </c>
      <c r="B14" s="3" t="inlineStr">
        <is>
          <t>仙人掌</t>
        </is>
      </c>
      <c r="C14" s="5" t="inlineStr">
        <is>
          <t>🌵</t>
        </is>
      </c>
      <c r="D14" s="3" t="inlineStr">
        <is>
          <t>iron</t>
        </is>
      </c>
      <c r="E14" s="3" t="inlineStr">
        <is>
          <t>铁矿</t>
        </is>
      </c>
      <c r="F14" s="5" t="inlineStr">
        <is>
          <t>⛓️</t>
        </is>
      </c>
      <c r="G14" s="7" t="n">
        <v>0.32</v>
      </c>
      <c r="H14" s="6" t="n">
        <v>1</v>
      </c>
      <c r="I14" s="8">
        <f>G14*H14</f>
        <v/>
      </c>
    </row>
    <row r="15">
      <c r="A15" s="3" t="inlineStr">
        <is>
          <t>rice</t>
        </is>
      </c>
      <c r="B15" s="3" t="inlineStr">
        <is>
          <t>水稻</t>
        </is>
      </c>
      <c r="C15" s="5" t="inlineStr">
        <is>
          <t>🌾</t>
        </is>
      </c>
      <c r="D15" s="3" t="inlineStr">
        <is>
          <t>fiber</t>
        </is>
      </c>
      <c r="E15" s="3" t="inlineStr">
        <is>
          <t>植物纤维</t>
        </is>
      </c>
      <c r="F15" s="5" t="inlineStr">
        <is>
          <t>🌾</t>
        </is>
      </c>
      <c r="G15" s="7" t="n">
        <v>0.8</v>
      </c>
      <c r="H15" s="6" t="n">
        <v>1</v>
      </c>
      <c r="I15" s="8">
        <f>G15*H15</f>
        <v/>
      </c>
    </row>
    <row r="16">
      <c r="A16" s="3" t="inlineStr">
        <is>
          <t>ginseng</t>
        </is>
      </c>
      <c r="B16" s="3" t="inlineStr">
        <is>
          <t>人参</t>
        </is>
      </c>
      <c r="C16" s="5" t="inlineStr">
        <is>
          <t>🫚</t>
        </is>
      </c>
      <c r="D16" s="3" t="inlineStr">
        <is>
          <t>wood</t>
        </is>
      </c>
      <c r="E16" s="3" t="inlineStr">
        <is>
          <t>木材</t>
        </is>
      </c>
      <c r="F16" s="5" t="inlineStr">
        <is>
          <t>🪵</t>
        </is>
      </c>
      <c r="G16" s="7" t="n">
        <v>0.8</v>
      </c>
      <c r="H16" s="6" t="n">
        <v>2</v>
      </c>
      <c r="I16" s="8">
        <f>G16*H16</f>
        <v/>
      </c>
    </row>
    <row r="17">
      <c r="A17" s="3" t="inlineStr">
        <is>
          <t>ginseng</t>
        </is>
      </c>
      <c r="B17" s="3" t="inlineStr">
        <is>
          <t>人参</t>
        </is>
      </c>
      <c r="C17" s="5" t="inlineStr">
        <is>
          <t>🫚</t>
        </is>
      </c>
      <c r="D17" s="3" t="inlineStr">
        <is>
          <t>bossFang</t>
        </is>
      </c>
      <c r="E17" s="3" t="inlineStr">
        <is>
          <t>巨兽獠牙</t>
        </is>
      </c>
      <c r="F17" s="5" t="inlineStr">
        <is>
          <t>🦷</t>
        </is>
      </c>
      <c r="G17" s="7" t="n">
        <v>0.25</v>
      </c>
      <c r="H17" s="6" t="n">
        <v>1</v>
      </c>
      <c r="I17" s="8">
        <f>G17*H17</f>
        <v/>
      </c>
    </row>
    <row r="18">
      <c r="A18" s="3" t="inlineStr">
        <is>
          <t>tomato</t>
        </is>
      </c>
      <c r="B18" s="3" t="inlineStr">
        <is>
          <t>番茄</t>
        </is>
      </c>
      <c r="C18" s="5" t="inlineStr">
        <is>
          <t>🍅</t>
        </is>
      </c>
      <c r="D18" s="3" t="inlineStr">
        <is>
          <t>fiber</t>
        </is>
      </c>
      <c r="E18" s="3" t="inlineStr">
        <is>
          <t>植物纤维</t>
        </is>
      </c>
      <c r="F18" s="5" t="inlineStr">
        <is>
          <t>🌾</t>
        </is>
      </c>
      <c r="G18" s="7" t="n">
        <v>0.35</v>
      </c>
      <c r="H18" s="6" t="n">
        <v>1</v>
      </c>
      <c r="I18" s="8">
        <f>G18*H18</f>
        <v/>
      </c>
    </row>
    <row r="19">
      <c r="A19" s="3" t="inlineStr">
        <is>
          <t>rosemary</t>
        </is>
      </c>
      <c r="B19" s="3" t="inlineStr">
        <is>
          <t>迷迭香</t>
        </is>
      </c>
      <c r="C19" s="5" t="inlineStr">
        <is>
          <t>🌱</t>
        </is>
      </c>
      <c r="D19" s="3" t="inlineStr">
        <is>
          <t>fiber</t>
        </is>
      </c>
      <c r="E19" s="3" t="inlineStr">
        <is>
          <t>植物纤维</t>
        </is>
      </c>
      <c r="F19" s="5" t="inlineStr">
        <is>
          <t>🌾</t>
        </is>
      </c>
      <c r="G19" s="7" t="n">
        <v>0.45</v>
      </c>
      <c r="H19" s="6" t="n">
        <v>1</v>
      </c>
      <c r="I19" s="8">
        <f>G19*H19</f>
        <v/>
      </c>
    </row>
    <row r="20">
      <c r="A20" s="3" t="inlineStr">
        <is>
          <t>frost_flower</t>
        </is>
      </c>
      <c r="B20" s="3" t="inlineStr">
        <is>
          <t>寒霜花</t>
        </is>
      </c>
      <c r="C20" s="5" t="inlineStr">
        <is>
          <t>❄️</t>
        </is>
      </c>
      <c r="D20" s="3" t="inlineStr">
        <is>
          <t>crystal</t>
        </is>
      </c>
      <c r="E20" s="3" t="inlineStr">
        <is>
          <t>晶核</t>
        </is>
      </c>
      <c r="F20" s="5" t="inlineStr">
        <is>
          <t>💎</t>
        </is>
      </c>
      <c r="G20" s="7" t="n">
        <v>0.65</v>
      </c>
      <c r="H20" s="6" t="n">
        <v>1</v>
      </c>
      <c r="I20" s="8">
        <f>G20*H20</f>
        <v/>
      </c>
    </row>
    <row r="21">
      <c r="A21" s="3" t="inlineStr">
        <is>
          <t>lightning_vine</t>
        </is>
      </c>
      <c r="B21" s="3" t="inlineStr">
        <is>
          <t>电藤</t>
        </is>
      </c>
      <c r="C21" s="5" t="inlineStr">
        <is>
          <t>⚡</t>
        </is>
      </c>
      <c r="D21" s="3" t="inlineStr">
        <is>
          <t>iron</t>
        </is>
      </c>
      <c r="E21" s="3" t="inlineStr">
        <is>
          <t>铁矿</t>
        </is>
      </c>
      <c r="F21" s="5" t="inlineStr">
        <is>
          <t>⛓️</t>
        </is>
      </c>
      <c r="G21" s="7" t="n">
        <v>0.55</v>
      </c>
      <c r="H21" s="6" t="n">
        <v>2</v>
      </c>
      <c r="I21" s="8">
        <f>G21*H21</f>
        <v/>
      </c>
    </row>
    <row r="22">
      <c r="A22" s="3" t="inlineStr">
        <is>
          <t>lightning_vine</t>
        </is>
      </c>
      <c r="B22" s="3" t="inlineStr">
        <is>
          <t>电藤</t>
        </is>
      </c>
      <c r="C22" s="5" t="inlineStr">
        <is>
          <t>⚡</t>
        </is>
      </c>
      <c r="D22" s="3" t="inlineStr">
        <is>
          <t>crystal</t>
        </is>
      </c>
      <c r="E22" s="3" t="inlineStr">
        <is>
          <t>晶核</t>
        </is>
      </c>
      <c r="F22" s="5" t="inlineStr">
        <is>
          <t>💎</t>
        </is>
      </c>
      <c r="G22" s="7" t="n">
        <v>0.2</v>
      </c>
      <c r="H22" s="6" t="n">
        <v>1</v>
      </c>
      <c r="I22" s="8">
        <f>G22*H22</f>
        <v/>
      </c>
    </row>
    <row r="23">
      <c r="A23" s="3" t="inlineStr">
        <is>
          <t>lightning_vine</t>
        </is>
      </c>
      <c r="B23" s="3" t="inlineStr">
        <is>
          <t>电藤</t>
        </is>
      </c>
      <c r="C23" s="5" t="inlineStr">
        <is>
          <t>⚡</t>
        </is>
      </c>
      <c r="D23" s="3" t="inlineStr">
        <is>
          <t>refined_iron</t>
        </is>
      </c>
      <c r="E23" s="3" t="inlineStr">
        <is>
          <t>精铁锭</t>
        </is>
      </c>
      <c r="F23" s="5" t="inlineStr">
        <is>
          <t>🔩</t>
        </is>
      </c>
      <c r="G23" s="7" t="n">
        <v>0.06</v>
      </c>
      <c r="H23" s="6" t="n">
        <v>1</v>
      </c>
      <c r="I23" s="8">
        <f>G23*H23</f>
        <v/>
      </c>
    </row>
    <row r="24">
      <c r="A24" s="3" t="inlineStr">
        <is>
          <t>shadow_flower</t>
        </is>
      </c>
      <c r="B24" s="3" t="inlineStr">
        <is>
          <t>暗影花</t>
        </is>
      </c>
      <c r="C24" s="5" t="inlineStr">
        <is>
          <t>🌑</t>
        </is>
      </c>
      <c r="D24" s="3" t="inlineStr">
        <is>
          <t>crystal</t>
        </is>
      </c>
      <c r="E24" s="3" t="inlineStr">
        <is>
          <t>晶核</t>
        </is>
      </c>
      <c r="F24" s="5" t="inlineStr">
        <is>
          <t>💎</t>
        </is>
      </c>
      <c r="G24" s="7" t="n">
        <v>0.5</v>
      </c>
      <c r="H24" s="6" t="n">
        <v>1</v>
      </c>
      <c r="I24" s="8">
        <f>G24*H24</f>
        <v/>
      </c>
    </row>
    <row r="25">
      <c r="A25" s="3" t="inlineStr">
        <is>
          <t>shadow_flower</t>
        </is>
      </c>
      <c r="B25" s="3" t="inlineStr">
        <is>
          <t>暗影花</t>
        </is>
      </c>
      <c r="C25" s="5" t="inlineStr">
        <is>
          <t>🌑</t>
        </is>
      </c>
      <c r="D25" s="3" t="inlineStr">
        <is>
          <t>soul_ash</t>
        </is>
      </c>
      <c r="E25" s="3" t="inlineStr">
        <is>
          <t>魂烬</t>
        </is>
      </c>
      <c r="F25" s="5" t="inlineStr">
        <is>
          <t>🌫️</t>
        </is>
      </c>
      <c r="G25" s="7" t="n">
        <v>0.45</v>
      </c>
      <c r="H25" s="6" t="n">
        <v>1</v>
      </c>
      <c r="I25" s="8">
        <f>G25*H25</f>
        <v/>
      </c>
    </row>
    <row r="26">
      <c r="A26" s="3" t="inlineStr">
        <is>
          <t>deathcap</t>
        </is>
      </c>
      <c r="B26" s="3" t="inlineStr">
        <is>
          <t>亡语菇</t>
        </is>
      </c>
      <c r="C26" s="5" t="inlineStr">
        <is>
          <t>🍄</t>
        </is>
      </c>
      <c r="D26" s="3" t="inlineStr">
        <is>
          <t>venom</t>
        </is>
      </c>
      <c r="E26" s="3" t="inlineStr">
        <is>
          <t>毒腺</t>
        </is>
      </c>
      <c r="F26" s="5" t="inlineStr">
        <is>
          <t>🧪</t>
        </is>
      </c>
      <c r="G26" s="7" t="n">
        <v>0.7</v>
      </c>
      <c r="H26" s="6" t="n">
        <v>1</v>
      </c>
      <c r="I26" s="8">
        <f>G26*H26</f>
        <v/>
      </c>
    </row>
    <row r="27">
      <c r="A27" s="3" t="inlineStr">
        <is>
          <t>deathcap</t>
        </is>
      </c>
      <c r="B27" s="3" t="inlineStr">
        <is>
          <t>亡语菇</t>
        </is>
      </c>
      <c r="C27" s="5" t="inlineStr">
        <is>
          <t>🍄</t>
        </is>
      </c>
      <c r="D27" s="3" t="inlineStr">
        <is>
          <t>soul_ash</t>
        </is>
      </c>
      <c r="E27" s="3" t="inlineStr">
        <is>
          <t>魂烬</t>
        </is>
      </c>
      <c r="F27" s="5" t="inlineStr">
        <is>
          <t>🌫️</t>
        </is>
      </c>
      <c r="G27" s="7" t="n">
        <v>0.5</v>
      </c>
      <c r="H27" s="6" t="n">
        <v>1</v>
      </c>
      <c r="I27" s="8">
        <f>G27*H27</f>
        <v/>
      </c>
    </row>
    <row r="28">
      <c r="A28" s="3" t="inlineStr">
        <is>
          <t>deathcap</t>
        </is>
      </c>
      <c r="B28" s="3" t="inlineStr">
        <is>
          <t>亡语菇</t>
        </is>
      </c>
      <c r="C28" s="5" t="inlineStr">
        <is>
          <t>🍄</t>
        </is>
      </c>
      <c r="D28" s="3" t="inlineStr">
        <is>
          <t>bossFang</t>
        </is>
      </c>
      <c r="E28" s="3" t="inlineStr">
        <is>
          <t>巨兽獠牙</t>
        </is>
      </c>
      <c r="F28" s="5" t="inlineStr">
        <is>
          <t>🦷</t>
        </is>
      </c>
      <c r="G28" s="7" t="n">
        <v>0.12</v>
      </c>
      <c r="H28" s="6" t="n">
        <v>1</v>
      </c>
      <c r="I28" s="8">
        <f>G28*H28</f>
        <v/>
      </c>
    </row>
    <row r="30">
      <c r="A30" s="9" t="inlineStr">
        <is>
          <t>注：概率为单株每次收获的独立掉率；优良/稀有/传说品质收获按品质倍率增加材料数量（见 FarmSystem.onCropHarvested）。</t>
        </is>
      </c>
    </row>
  </sheetData>
  <mergeCells count="2">
    <mergeCell ref="A1:I1"/>
    <mergeCell ref="A30:I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0" customWidth="1" min="4" max="4"/>
    <col width="42" customWidth="1" min="5" max="5"/>
    <col width="26" customWidth="1" min="6" max="6"/>
    <col width="10" customWidth="1" min="7" max="7"/>
  </cols>
  <sheetData>
    <row r="1" ht="26" customHeight="1">
      <c r="A1" s="1" t="inlineStr">
        <is>
          <t>材料与资源（14 种，材料不占仓库容量）</t>
        </is>
      </c>
    </row>
    <row r="2" ht="30" customHeight="1">
      <c r="A2" s="4" t="inlineStr">
        <is>
          <t>材料ID</t>
        </is>
      </c>
      <c r="B2" s="4" t="inlineStr">
        <is>
          <t>图标</t>
        </is>
      </c>
      <c r="C2" s="4" t="inlineStr">
        <is>
          <t>名称</t>
        </is>
      </c>
      <c r="D2" s="4" t="inlineStr">
        <is>
          <t>类别</t>
        </is>
      </c>
      <c r="E2" s="4" t="inlineStr">
        <is>
          <t>来源（v5.1）</t>
        </is>
      </c>
      <c r="F2" s="4" t="inlineStr">
        <is>
          <t>用途</t>
        </is>
      </c>
      <c r="G2" s="4" t="inlineStr">
        <is>
          <t>占仓库容量</t>
        </is>
      </c>
    </row>
    <row r="3">
      <c r="A3" s="3" t="inlineStr">
        <is>
          <t>wood</t>
        </is>
      </c>
      <c r="B3" s="5" t="inlineStr">
        <is>
          <t>🪵</t>
        </is>
      </c>
      <c r="C3" s="3" t="inlineStr">
        <is>
          <t>木材</t>
        </is>
      </c>
      <c r="D3" s="5" t="inlineStr">
        <is>
          <t>庄园资源</t>
        </is>
      </c>
      <c r="E3" s="3" t="inlineStr">
        <is>
          <t>作物：豌豆射手50%、九叶灵芝80%×2</t>
        </is>
      </c>
      <c r="F3" s="3" t="inlineStr">
        <is>
          <t>武器打造、建筑、火把</t>
        </is>
      </c>
      <c r="G3" s="5" t="inlineStr">
        <is>
          <t>否</t>
        </is>
      </c>
    </row>
    <row r="4">
      <c r="A4" s="3" t="inlineStr">
        <is>
          <t>soil</t>
        </is>
      </c>
      <c r="B4" s="5" t="inlineStr">
        <is>
          <t>🟫</t>
        </is>
      </c>
      <c r="C4" s="3" t="inlineStr">
        <is>
          <t>泥土</t>
        </is>
      </c>
      <c r="D4" s="5" t="inlineStr">
        <is>
          <t>庄园资源</t>
        </is>
      </c>
      <c r="E4" s="3" t="inlineStr">
        <is>
          <t>远征：树精掉落、宝箱</t>
        </is>
      </c>
      <c r="F4" s="3" t="inlineStr">
        <is>
          <t>修行升级、种植、堆肥</t>
        </is>
      </c>
      <c r="G4" s="5" t="inlineStr">
        <is>
          <t>否</t>
        </is>
      </c>
    </row>
    <row r="5">
      <c r="A5" s="3" t="inlineStr">
        <is>
          <t>water</t>
        </is>
      </c>
      <c r="B5" s="5" t="inlineStr">
        <is>
          <t>💧</t>
        </is>
      </c>
      <c r="C5" s="3" t="inlineStr">
        <is>
          <t>清水</t>
        </is>
      </c>
      <c r="D5" s="5" t="inlineStr">
        <is>
          <t>庄园资源</t>
        </is>
      </c>
      <c r="E5" s="3" t="inlineStr">
        <is>
          <t>远征：河湾/水洼采集</t>
        </is>
      </c>
      <c r="F5" s="3" t="inlineStr">
        <is>
          <t>升级、烹饪、温室</t>
        </is>
      </c>
      <c r="G5" s="5" t="inlineStr">
        <is>
          <t>否</t>
        </is>
      </c>
    </row>
    <row r="6">
      <c r="A6" s="3" t="inlineStr">
        <is>
          <t>compost</t>
        </is>
      </c>
      <c r="B6" s="5" t="inlineStr">
        <is>
          <t>🍂</t>
        </is>
      </c>
      <c r="C6" s="3" t="inlineStr">
        <is>
          <t>堆肥</t>
        </is>
      </c>
      <c r="D6" s="5" t="inlineStr">
        <is>
          <t>庄园资源</t>
        </is>
      </c>
      <c r="E6" s="3" t="inlineStr">
        <is>
          <t>作物：胡萝卜30%；工坊残料×2</t>
        </is>
      </c>
      <c r="F6" s="3" t="inlineStr">
        <is>
          <t>升级、高级种植</t>
        </is>
      </c>
      <c r="G6" s="5" t="inlineStr">
        <is>
          <t>否</t>
        </is>
      </c>
    </row>
    <row r="7">
      <c r="A7" s="3" t="inlineStr">
        <is>
          <t>stone</t>
        </is>
      </c>
      <c r="B7" s="5" t="inlineStr">
        <is>
          <t>🪨</t>
        </is>
      </c>
      <c r="C7" s="3" t="inlineStr">
        <is>
          <t>石料</t>
        </is>
      </c>
      <c r="D7" s="5" t="inlineStr">
        <is>
          <t>庄园资源</t>
        </is>
      </c>
      <c r="E7" s="3" t="inlineStr">
        <is>
          <t>作物：仙人掌50%</t>
        </is>
      </c>
      <c r="F7" s="3" t="inlineStr">
        <is>
          <t>建筑、捕兽夹</t>
        </is>
      </c>
      <c r="G7" s="5" t="inlineStr">
        <is>
          <t>否</t>
        </is>
      </c>
    </row>
    <row r="8">
      <c r="A8" s="3" t="inlineStr">
        <is>
          <t>fiber</t>
        </is>
      </c>
      <c r="B8" s="5" t="inlineStr">
        <is>
          <t>🌾</t>
        </is>
      </c>
      <c r="C8" s="3" t="inlineStr">
        <is>
          <t>植物纤维</t>
        </is>
      </c>
      <c r="D8" s="5" t="inlineStr">
        <is>
          <t>庄园资源</t>
        </is>
      </c>
      <c r="E8" s="3" t="inlineStr">
        <is>
          <t>作物：向日葵/白菜/小麦/蒜/薄荷/水稻/番茄/迷迭香</t>
        </is>
      </c>
      <c r="F8" s="3" t="inlineStr">
        <is>
          <t>农田扩建、急救包、绳索</t>
        </is>
      </c>
      <c r="G8" s="5" t="inlineStr">
        <is>
          <t>否</t>
        </is>
      </c>
    </row>
    <row r="9">
      <c r="A9" s="3" t="inlineStr">
        <is>
          <t>iron</t>
        </is>
      </c>
      <c r="B9" s="5" t="inlineStr">
        <is>
          <t>⛓️</t>
        </is>
      </c>
      <c r="C9" s="3" t="inlineStr">
        <is>
          <t>铁矿</t>
        </is>
      </c>
      <c r="D9" s="5" t="inlineStr">
        <is>
          <t>矿材</t>
        </is>
      </c>
      <c r="E9" s="3" t="inlineStr">
        <is>
          <t>作物：仙人掌32%、雷鸣藤55%×2</t>
        </is>
      </c>
      <c r="F9" s="3" t="inlineStr">
        <is>
          <t>武器打造升级、提炼精铁锭</t>
        </is>
      </c>
      <c r="G9" s="5" t="inlineStr">
        <is>
          <t>否</t>
        </is>
      </c>
    </row>
    <row r="10">
      <c r="A10" s="3" t="inlineStr">
        <is>
          <t>refined_iron</t>
        </is>
      </c>
      <c r="B10" s="5" t="inlineStr">
        <is>
          <t>🔩</t>
        </is>
      </c>
      <c r="C10" s="3" t="inlineStr">
        <is>
          <t>精铁锭</t>
        </is>
      </c>
      <c r="D10" s="5" t="inlineStr">
        <is>
          <t>矿材</t>
        </is>
      </c>
      <c r="E10" s="3" t="inlineStr">
        <is>
          <t>作物：雷鸣藤6%；工坊：铁矿×3</t>
        </is>
      </c>
      <c r="F10" s="3" t="inlineStr">
        <is>
          <t>高级武器锻造</t>
        </is>
      </c>
      <c r="G10" s="5" t="inlineStr">
        <is>
          <t>否</t>
        </is>
      </c>
    </row>
    <row r="11">
      <c r="A11" s="3" t="inlineStr">
        <is>
          <t>crystal</t>
        </is>
      </c>
      <c r="B11" s="5" t="inlineStr">
        <is>
          <t>💎</t>
        </is>
      </c>
      <c r="C11" s="3" t="inlineStr">
        <is>
          <t>晶核</t>
        </is>
      </c>
      <c r="D11" s="5" t="inlineStr">
        <is>
          <t>远征材料</t>
        </is>
      </c>
      <c r="E11" s="3" t="inlineStr">
        <is>
          <t>作物：西瓜/冰心莲/雷鸣藤/幽魂兰</t>
        </is>
      </c>
      <c r="F11" s="3" t="inlineStr">
        <is>
          <t>武器打造升级、高级技能</t>
        </is>
      </c>
      <c r="G11" s="5" t="inlineStr">
        <is>
          <t>否</t>
        </is>
      </c>
    </row>
    <row r="12">
      <c r="A12" s="3" t="inlineStr">
        <is>
          <t>venom</t>
        </is>
      </c>
      <c r="B12" s="5" t="inlineStr">
        <is>
          <t>🧪</t>
        </is>
      </c>
      <c r="C12" s="3" t="inlineStr">
        <is>
          <t>毒腺</t>
        </is>
      </c>
      <c r="D12" s="5" t="inlineStr">
        <is>
          <t>远征材料</t>
        </is>
      </c>
      <c r="E12" s="3" t="inlineStr">
        <is>
          <t>作物：辣椒30%、幽冥毒伞70%</t>
        </is>
      </c>
      <c r="F12" s="3" t="inlineStr">
        <is>
          <t>毒雾弹</t>
        </is>
      </c>
      <c r="G12" s="5" t="inlineStr">
        <is>
          <t>否</t>
        </is>
      </c>
    </row>
    <row r="13">
      <c r="A13" s="3" t="inlineStr">
        <is>
          <t>carapace</t>
        </is>
      </c>
      <c r="B13" s="5" t="inlineStr">
        <is>
          <t>🐚</t>
        </is>
      </c>
      <c r="C13" s="3" t="inlineStr">
        <is>
          <t>甲壳</t>
        </is>
      </c>
      <c r="D13" s="5" t="inlineStr">
        <is>
          <t>远征材料</t>
        </is>
      </c>
      <c r="E13" s="3" t="inlineStr">
        <is>
          <t>作物：仙人掌40%</t>
        </is>
      </c>
      <c r="F13" s="3" t="inlineStr">
        <is>
          <t>护盾类工坊制品</t>
        </is>
      </c>
      <c r="G13" s="5" t="inlineStr">
        <is>
          <t>否</t>
        </is>
      </c>
    </row>
    <row r="14">
      <c r="A14" s="3" t="inlineStr">
        <is>
          <t>soul_ash</t>
        </is>
      </c>
      <c r="B14" s="5" t="inlineStr">
        <is>
          <t>🌫️</t>
        </is>
      </c>
      <c r="C14" s="3" t="inlineStr">
        <is>
          <t>魂烬</t>
        </is>
      </c>
      <c r="D14" s="5" t="inlineStr">
        <is>
          <t>远征材料</t>
        </is>
      </c>
      <c r="E14" s="3" t="inlineStr">
        <is>
          <t>作物：幽魂兰45%、幽冥毒伞50%</t>
        </is>
      </c>
      <c r="F14" s="3" t="inlineStr">
        <is>
          <t>高级锻造、修为丹</t>
        </is>
      </c>
      <c r="G14" s="5" t="inlineStr">
        <is>
          <t>否</t>
        </is>
      </c>
    </row>
    <row r="15">
      <c r="A15" s="3" t="inlineStr">
        <is>
          <t>bossFang</t>
        </is>
      </c>
      <c r="B15" s="5" t="inlineStr">
        <is>
          <t>🦷</t>
        </is>
      </c>
      <c r="C15" s="3" t="inlineStr">
        <is>
          <t>巨兽獠牙</t>
        </is>
      </c>
      <c r="D15" s="5" t="inlineStr">
        <is>
          <t>远征材料</t>
        </is>
      </c>
      <c r="E15" s="3" t="inlineStr">
        <is>
          <t>作物：九叶灵芝25%、幽冥毒伞12%</t>
        </is>
      </c>
      <c r="F15" s="3" t="inlineStr">
        <is>
          <t>武器 7 级以上升级</t>
        </is>
      </c>
      <c r="G15" s="5" t="inlineStr">
        <is>
          <t>否</t>
        </is>
      </c>
    </row>
    <row r="16">
      <c r="A16" s="3" t="inlineStr">
        <is>
          <t>herb</t>
        </is>
      </c>
      <c r="B16" s="5" t="inlineStr">
        <is>
          <t>🌿</t>
        </is>
      </c>
      <c r="C16" s="3" t="inlineStr">
        <is>
          <t>药草</t>
        </is>
      </c>
      <c r="D16" s="5" t="inlineStr">
        <is>
          <t>原料</t>
        </is>
      </c>
      <c r="E16" s="3" t="inlineStr">
        <is>
          <t>远征野外采摘、宝箱</t>
        </is>
      </c>
      <c r="F16" s="3" t="inlineStr">
        <is>
          <t>急救包、药剂</t>
        </is>
      </c>
      <c r="G16" s="5" t="inlineStr">
        <is>
          <t>否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16" customWidth="1" min="4" max="4"/>
  </cols>
  <sheetData>
    <row r="1" ht="26" customHeight="1">
      <c r="A1" s="1" t="inlineStr">
        <is>
          <t>修为抵扣汇率（打造/升级时可用修为替代材料，金币仍需支付）</t>
        </is>
      </c>
    </row>
    <row r="2" ht="30" customHeight="1">
      <c r="A2" s="4" t="inlineStr">
        <is>
          <t>材料ID</t>
        </is>
      </c>
      <c r="B2" s="4" t="inlineStr">
        <is>
          <t>材料</t>
        </is>
      </c>
      <c r="C2" s="4" t="inlineStr">
        <is>
          <t>图标</t>
        </is>
      </c>
      <c r="D2" s="4" t="inlineStr">
        <is>
          <t>每单位抵扣修为</t>
        </is>
      </c>
    </row>
    <row r="3">
      <c r="A3" s="3" t="inlineStr">
        <is>
          <t>wood</t>
        </is>
      </c>
      <c r="B3" s="3" t="inlineStr">
        <is>
          <t>木材</t>
        </is>
      </c>
      <c r="C3" s="5" t="inlineStr">
        <is>
          <t>🪵</t>
        </is>
      </c>
      <c r="D3" s="6" t="n">
        <v>40</v>
      </c>
    </row>
    <row r="4">
      <c r="A4" s="3" t="inlineStr">
        <is>
          <t>stone</t>
        </is>
      </c>
      <c r="B4" s="3" t="inlineStr">
        <is>
          <t>石料</t>
        </is>
      </c>
      <c r="C4" s="5" t="inlineStr">
        <is>
          <t>🪨</t>
        </is>
      </c>
      <c r="D4" s="6" t="n">
        <v>30</v>
      </c>
    </row>
    <row r="5">
      <c r="A5" s="3" t="inlineStr">
        <is>
          <t>fiber</t>
        </is>
      </c>
      <c r="B5" s="3" t="inlineStr">
        <is>
          <t>植物纤维</t>
        </is>
      </c>
      <c r="C5" s="5" t="inlineStr">
        <is>
          <t>🌾</t>
        </is>
      </c>
      <c r="D5" s="6" t="n">
        <v>20</v>
      </c>
    </row>
    <row r="6">
      <c r="A6" s="3" t="inlineStr">
        <is>
          <t>iron</t>
        </is>
      </c>
      <c r="B6" s="3" t="inlineStr">
        <is>
          <t>铁矿</t>
        </is>
      </c>
      <c r="C6" s="5" t="inlineStr">
        <is>
          <t>⛓️</t>
        </is>
      </c>
      <c r="D6" s="6" t="n">
        <v>60</v>
      </c>
    </row>
    <row r="7">
      <c r="A7" s="3" t="inlineStr">
        <is>
          <t>refined_iron</t>
        </is>
      </c>
      <c r="B7" s="3" t="inlineStr">
        <is>
          <t>精铁锭</t>
        </is>
      </c>
      <c r="C7" s="5" t="inlineStr">
        <is>
          <t>🔩</t>
        </is>
      </c>
      <c r="D7" s="6" t="n">
        <v>240</v>
      </c>
    </row>
    <row r="8">
      <c r="A8" s="3" t="inlineStr">
        <is>
          <t>crystal</t>
        </is>
      </c>
      <c r="B8" s="3" t="inlineStr">
        <is>
          <t>晶核</t>
        </is>
      </c>
      <c r="C8" s="5" t="inlineStr">
        <is>
          <t>💎</t>
        </is>
      </c>
      <c r="D8" s="6" t="n">
        <v>200</v>
      </c>
    </row>
    <row r="9">
      <c r="A9" s="3" t="inlineStr">
        <is>
          <t>venom</t>
        </is>
      </c>
      <c r="B9" s="3" t="inlineStr">
        <is>
          <t>毒腺</t>
        </is>
      </c>
      <c r="C9" s="5" t="inlineStr">
        <is>
          <t>🧪</t>
        </is>
      </c>
      <c r="D9" s="6" t="n">
        <v>80</v>
      </c>
    </row>
    <row r="10">
      <c r="A10" s="3" t="inlineStr">
        <is>
          <t>carapace</t>
        </is>
      </c>
      <c r="B10" s="3" t="inlineStr">
        <is>
          <t>甲壳</t>
        </is>
      </c>
      <c r="C10" s="5" t="inlineStr">
        <is>
          <t>🐚</t>
        </is>
      </c>
      <c r="D10" s="6" t="n">
        <v>80</v>
      </c>
    </row>
    <row r="11">
      <c r="A11" s="3" t="inlineStr">
        <is>
          <t>soul_ash</t>
        </is>
      </c>
      <c r="B11" s="3" t="inlineStr">
        <is>
          <t>魂烬</t>
        </is>
      </c>
      <c r="C11" s="5" t="inlineStr">
        <is>
          <t>🌫️</t>
        </is>
      </c>
      <c r="D11" s="6" t="n">
        <v>150</v>
      </c>
    </row>
    <row r="12">
      <c r="A12" s="3" t="inlineStr">
        <is>
          <t>bossFang</t>
        </is>
      </c>
      <c r="B12" s="3" t="inlineStr">
        <is>
          <t>巨兽獠牙</t>
        </is>
      </c>
      <c r="C12" s="5" t="inlineStr">
        <is>
          <t>🦷</t>
        </is>
      </c>
      <c r="D12" s="6" t="n">
        <v>800</v>
      </c>
    </row>
    <row r="13">
      <c r="A13" s="3" t="inlineStr">
        <is>
          <t>（未列出材料）</t>
        </is>
      </c>
      <c r="D13" s="6" t="n">
        <v>100</v>
      </c>
    </row>
    <row r="14">
      <c r="A14" s="9" t="inlineStr">
        <is>
          <t>公式：所需修为 = Σ(材料数量 × 每单位修为)，结果四舍五入。金币不可用修为抵扣。</t>
        </is>
      </c>
    </row>
  </sheetData>
  <mergeCells count="2">
    <mergeCell ref="A1:D1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9" customWidth="1" min="4" max="4"/>
    <col width="8" customWidth="1" min="5" max="5"/>
    <col width="11" customWidth="1" min="6" max="6"/>
    <col width="8" customWidth="1" min="7" max="7"/>
    <col width="30" customWidth="1" min="8" max="8"/>
    <col width="10" customWidth="1" min="9" max="9"/>
    <col width="7" customWidth="1" min="10" max="10"/>
    <col width="7" customWidth="1" min="11" max="11"/>
    <col width="7" customWidth="1" min="12" max="12"/>
    <col width="13" customWidth="1" min="13" max="13"/>
    <col width="9" customWidth="1" min="14" max="14"/>
  </cols>
  <sheetData>
    <row r="1" ht="26" customHeight="1">
      <c r="A1" s="1" t="inlineStr">
        <is>
          <t>武器（5 种，每把可升 10 级）</t>
        </is>
      </c>
    </row>
    <row r="2" ht="30" customHeight="1">
      <c r="A2" s="4" t="inlineStr">
        <is>
          <t>武器ID</t>
        </is>
      </c>
      <c r="B2" s="4" t="inlineStr">
        <is>
          <t>名称</t>
        </is>
      </c>
      <c r="C2" s="4" t="inlineStr">
        <is>
          <t>类型</t>
        </is>
      </c>
      <c r="D2" s="4" t="inlineStr">
        <is>
          <t>基础伤害</t>
        </is>
      </c>
      <c r="E2" s="4" t="inlineStr">
        <is>
          <t>射程</t>
        </is>
      </c>
      <c r="F2" s="4" t="inlineStr">
        <is>
          <t>攻击间隔(s)</t>
        </is>
      </c>
      <c r="G2" s="4" t="inlineStr">
        <is>
          <t>弹速</t>
        </is>
      </c>
      <c r="H2" s="4" t="inlineStr">
        <is>
          <t>特性</t>
        </is>
      </c>
      <c r="I2" s="4" t="inlineStr">
        <is>
          <t>打造金币</t>
        </is>
      </c>
      <c r="J2" s="4" t="inlineStr">
        <is>
          <t>木材</t>
        </is>
      </c>
      <c r="K2" s="4" t="inlineStr">
        <is>
          <t>铁矿</t>
        </is>
      </c>
      <c r="L2" s="4" t="inlineStr">
        <is>
          <t>晶核</t>
        </is>
      </c>
      <c r="M2" s="4" t="inlineStr">
        <is>
          <t>材料修为抵扣</t>
        </is>
      </c>
      <c r="N2" s="4" t="inlineStr">
        <is>
          <t>需要蓝图</t>
        </is>
      </c>
    </row>
    <row r="3">
      <c r="A3" s="3" t="inlineStr">
        <is>
          <t>harvest_sickle</t>
        </is>
      </c>
      <c r="B3" s="3" t="inlineStr">
        <is>
          <t>丰收镰刃</t>
        </is>
      </c>
      <c r="C3" s="5" t="inlineStr">
        <is>
          <t>近战</t>
        </is>
      </c>
      <c r="D3" s="6" t="n">
        <v>18</v>
      </c>
      <c r="E3" s="6" t="n">
        <v>82</v>
      </c>
      <c r="F3" s="8" t="n">
        <v>0.46</v>
      </c>
      <c r="G3" s="6" t="inlineStr">
        <is>
          <t>—</t>
        </is>
      </c>
      <c r="H3" s="3" t="inlineStr">
        <is>
          <t>宽幅近战，可短暂打断敌人</t>
        </is>
      </c>
      <c r="I3" s="6" t="n">
        <v>100</v>
      </c>
      <c r="J3" s="6" t="n">
        <v>3</v>
      </c>
      <c r="K3" s="6" t="n">
        <v>2</v>
      </c>
      <c r="L3" s="6" t="n">
        <v>0</v>
      </c>
      <c r="M3" s="6">
        <f>J3*'修为折算'!$D$3+K3*'修为折算'!$D$6+L3*'修为折算'!$D$8</f>
        <v/>
      </c>
      <c r="N3" s="5" t="inlineStr">
        <is>
          <t>否</t>
        </is>
      </c>
    </row>
    <row r="4">
      <c r="A4" s="3" t="inlineStr">
        <is>
          <t>pea_repeater</t>
        </is>
      </c>
      <c r="B4" s="3" t="inlineStr">
        <is>
          <t>豌豆连弩</t>
        </is>
      </c>
      <c r="C4" s="5" t="inlineStr">
        <is>
          <t>远程</t>
        </is>
      </c>
      <c r="D4" s="6" t="n">
        <v>11</v>
      </c>
      <c r="E4" s="6" t="n">
        <v>470</v>
      </c>
      <c r="F4" s="8" t="n">
        <v>0.28</v>
      </c>
      <c r="G4" s="6" t="n">
        <v>620</v>
      </c>
      <c r="H4" s="3" t="inlineStr">
        <is>
          <t>快速远射，适合持续压制</t>
        </is>
      </c>
      <c r="I4" s="6" t="n">
        <v>150</v>
      </c>
      <c r="J4" s="6" t="n">
        <v>5</v>
      </c>
      <c r="K4" s="6" t="n">
        <v>3</v>
      </c>
      <c r="L4" s="6" t="n">
        <v>0</v>
      </c>
      <c r="M4" s="6">
        <f>J4*'修为折算'!$D$3+K4*'修为折算'!$D$6+L4*'修为折算'!$D$8</f>
        <v/>
      </c>
      <c r="N4" s="5" t="inlineStr">
        <is>
          <t>否</t>
        </is>
      </c>
    </row>
    <row r="5">
      <c r="A5" s="3" t="inlineStr">
        <is>
          <t>vine_staff</t>
        </is>
      </c>
      <c r="B5" s="3" t="inlineStr">
        <is>
          <t>藤芯法杖</t>
        </is>
      </c>
      <c r="C5" s="5" t="inlineStr">
        <is>
          <t>穿透</t>
        </is>
      </c>
      <c r="D5" s="6" t="n">
        <v>24</v>
      </c>
      <c r="E5" s="6" t="n">
        <v>390</v>
      </c>
      <c r="F5" s="8" t="n">
        <v>0.72</v>
      </c>
      <c r="G5" s="6" t="n">
        <v>440</v>
      </c>
      <c r="H5" s="3" t="inlineStr">
        <is>
          <t>灵藤波可贯穿多个目标</t>
        </is>
      </c>
      <c r="I5" s="6" t="n">
        <v>200</v>
      </c>
      <c r="J5" s="6" t="n">
        <v>8</v>
      </c>
      <c r="K5" s="6" t="n">
        <v>0</v>
      </c>
      <c r="L5" s="6" t="n">
        <v>2</v>
      </c>
      <c r="M5" s="6">
        <f>J5*'修为折算'!$D$3+K5*'修为折算'!$D$6+L5*'修为折算'!$D$8</f>
        <v/>
      </c>
      <c r="N5" s="5" t="inlineStr">
        <is>
          <t>否</t>
        </is>
      </c>
    </row>
    <row r="6">
      <c r="A6" s="3" t="inlineStr">
        <is>
          <t>throwing_knife</t>
        </is>
      </c>
      <c r="B6" s="3" t="inlineStr">
        <is>
          <t>飞刃</t>
        </is>
      </c>
      <c r="C6" s="5" t="inlineStr">
        <is>
          <t>远程</t>
        </is>
      </c>
      <c r="D6" s="6" t="n">
        <v>16</v>
      </c>
      <c r="E6" s="6" t="n">
        <v>520</v>
      </c>
      <c r="F6" s="8" t="n">
        <v>0.35</v>
      </c>
      <c r="G6" s="6" t="n">
        <v>800</v>
      </c>
      <c r="H6" s="3" t="inlineStr">
        <is>
          <t>高初速远程，攻速极快</t>
        </is>
      </c>
      <c r="I6" s="6" t="n">
        <v>500</v>
      </c>
      <c r="J6" s="6" t="n">
        <v>0</v>
      </c>
      <c r="K6" s="6" t="n">
        <v>10</v>
      </c>
      <c r="L6" s="6" t="n">
        <v>3</v>
      </c>
      <c r="M6" s="6">
        <f>J6*'修为折算'!$D$3+K6*'修为折算'!$D$6+L6*'修为折算'!$D$8</f>
        <v/>
      </c>
      <c r="N6" s="5" t="inlineStr">
        <is>
          <t>是</t>
        </is>
      </c>
    </row>
    <row r="7">
      <c r="A7" s="3" t="inlineStr">
        <is>
          <t>flame_bow</t>
        </is>
      </c>
      <c r="B7" s="3" t="inlineStr">
        <is>
          <t>烈焰长弓</t>
        </is>
      </c>
      <c r="C7" s="5" t="inlineStr">
        <is>
          <t>远程</t>
        </is>
      </c>
      <c r="D7" s="6" t="n">
        <v>32</v>
      </c>
      <c r="E7" s="6" t="n">
        <v>600</v>
      </c>
      <c r="F7" s="8" t="n">
        <v>0.85</v>
      </c>
      <c r="G7" s="6" t="n">
        <v>550</v>
      </c>
      <c r="H7" s="3" t="inlineStr">
        <is>
          <t>火焰箭矢，命中爆炸AOE</t>
        </is>
      </c>
      <c r="I7" s="6" t="n">
        <v>1000</v>
      </c>
      <c r="J7" s="6" t="n">
        <v>15</v>
      </c>
      <c r="K7" s="6" t="n">
        <v>8</v>
      </c>
      <c r="L7" s="6" t="n">
        <v>5</v>
      </c>
      <c r="M7" s="6">
        <f>J7*'修为折算'!$D$3+K7*'修为折算'!$D$6+L7*'修为折算'!$D$8</f>
        <v/>
      </c>
      <c r="N7" s="5" t="inlineStr">
        <is>
          <t>是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10" customWidth="1" min="5" max="5"/>
    <col width="14" customWidth="1" min="6" max="6"/>
  </cols>
  <sheetData>
    <row r="1" ht="26" customHeight="1">
      <c r="A1" s="1" t="inlineStr">
        <is>
          <t>武器升级费用（1→10 级，所有武器通用）</t>
        </is>
      </c>
    </row>
    <row r="2" ht="30" customHeight="1">
      <c r="A2" s="4" t="inlineStr">
        <is>
          <t>升级到等级</t>
        </is>
      </c>
      <c r="B2" s="4" t="inlineStr">
        <is>
          <t>金币</t>
        </is>
      </c>
      <c r="C2" s="4" t="inlineStr">
        <is>
          <t>铁矿</t>
        </is>
      </c>
      <c r="D2" s="4" t="inlineStr">
        <is>
          <t>晶核</t>
        </is>
      </c>
      <c r="E2" s="4" t="inlineStr">
        <is>
          <t>巨兽獠牙</t>
        </is>
      </c>
      <c r="F2" s="4" t="inlineStr">
        <is>
          <t>材料修为抵扣</t>
        </is>
      </c>
    </row>
    <row r="3">
      <c r="A3" s="5" t="n">
        <v>1</v>
      </c>
      <c r="B3" s="6" t="n">
        <v>200</v>
      </c>
      <c r="C3" s="6" t="n">
        <v>3</v>
      </c>
      <c r="D3" s="6" t="n">
        <v>0</v>
      </c>
      <c r="E3" s="6" t="n">
        <v>0</v>
      </c>
      <c r="F3" s="6">
        <f>C3*'修为折算'!$D$6+D3*'修为折算'!$D$8+E3*'修为折算'!$D$12</f>
        <v/>
      </c>
    </row>
    <row r="4">
      <c r="A4" s="5" t="n">
        <v>2</v>
      </c>
      <c r="B4" s="6" t="n">
        <v>400</v>
      </c>
      <c r="C4" s="6" t="n">
        <v>5</v>
      </c>
      <c r="D4" s="6" t="n">
        <v>0</v>
      </c>
      <c r="E4" s="6" t="n">
        <v>0</v>
      </c>
      <c r="F4" s="6">
        <f>C4*'修为折算'!$D$6+D4*'修为折算'!$D$8+E4*'修为折算'!$D$12</f>
        <v/>
      </c>
    </row>
    <row r="5">
      <c r="A5" s="5" t="n">
        <v>3</v>
      </c>
      <c r="B5" s="6" t="n">
        <v>700</v>
      </c>
      <c r="C5" s="6" t="n">
        <v>8</v>
      </c>
      <c r="D5" s="6" t="n">
        <v>1</v>
      </c>
      <c r="E5" s="6" t="n">
        <v>0</v>
      </c>
      <c r="F5" s="6">
        <f>C5*'修为折算'!$D$6+D5*'修为折算'!$D$8+E5*'修为折算'!$D$12</f>
        <v/>
      </c>
    </row>
    <row r="6">
      <c r="A6" s="5" t="n">
        <v>4</v>
      </c>
      <c r="B6" s="6" t="n">
        <v>1000</v>
      </c>
      <c r="C6" s="6" t="n">
        <v>12</v>
      </c>
      <c r="D6" s="6" t="n">
        <v>2</v>
      </c>
      <c r="E6" s="6" t="n">
        <v>0</v>
      </c>
      <c r="F6" s="6">
        <f>C6*'修为折算'!$D$6+D6*'修为折算'!$D$8+E6*'修为折算'!$D$12</f>
        <v/>
      </c>
    </row>
    <row r="7">
      <c r="A7" s="5" t="n">
        <v>5</v>
      </c>
      <c r="B7" s="6" t="n">
        <v>1500</v>
      </c>
      <c r="C7" s="6" t="n">
        <v>20</v>
      </c>
      <c r="D7" s="6" t="n">
        <v>4</v>
      </c>
      <c r="E7" s="6" t="n">
        <v>0</v>
      </c>
      <c r="F7" s="6">
        <f>C7*'修为折算'!$D$6+D7*'修为折算'!$D$8+E7*'修为折算'!$D$12</f>
        <v/>
      </c>
    </row>
    <row r="8">
      <c r="A8" s="5" t="n">
        <v>6</v>
      </c>
      <c r="B8" s="6" t="n">
        <v>2200</v>
      </c>
      <c r="C8" s="6" t="n">
        <v>30</v>
      </c>
      <c r="D8" s="6" t="n">
        <v>6</v>
      </c>
      <c r="E8" s="6" t="n">
        <v>0</v>
      </c>
      <c r="F8" s="6">
        <f>C8*'修为折算'!$D$6+D8*'修为折算'!$D$8+E8*'修为折算'!$D$12</f>
        <v/>
      </c>
    </row>
    <row r="9">
      <c r="A9" s="5" t="n">
        <v>7</v>
      </c>
      <c r="B9" s="6" t="n">
        <v>3000</v>
      </c>
      <c r="C9" s="6" t="n">
        <v>40</v>
      </c>
      <c r="D9" s="6" t="n">
        <v>8</v>
      </c>
      <c r="E9" s="6" t="n">
        <v>1</v>
      </c>
      <c r="F9" s="6">
        <f>C9*'修为折算'!$D$6+D9*'修为折算'!$D$8+E9*'修为折算'!$D$12</f>
        <v/>
      </c>
    </row>
    <row r="10">
      <c r="A10" s="5" t="n">
        <v>8</v>
      </c>
      <c r="B10" s="6" t="n">
        <v>4000</v>
      </c>
      <c r="C10" s="6" t="n">
        <v>50</v>
      </c>
      <c r="D10" s="6" t="n">
        <v>12</v>
      </c>
      <c r="E10" s="6" t="n">
        <v>1</v>
      </c>
      <c r="F10" s="6">
        <f>C10*'修为折算'!$D$6+D10*'修为折算'!$D$8+E10*'修为折算'!$D$12</f>
        <v/>
      </c>
    </row>
    <row r="11">
      <c r="A11" s="5" t="n">
        <v>9</v>
      </c>
      <c r="B11" s="6" t="n">
        <v>5500</v>
      </c>
      <c r="C11" s="6" t="n">
        <v>70</v>
      </c>
      <c r="D11" s="6" t="n">
        <v>18</v>
      </c>
      <c r="E11" s="6" t="n">
        <v>2</v>
      </c>
      <c r="F11" s="6">
        <f>C11*'修为折算'!$D$6+D11*'修为折算'!$D$8+E11*'修为折算'!$D$12</f>
        <v/>
      </c>
    </row>
    <row r="12">
      <c r="A12" s="5" t="n">
        <v>10</v>
      </c>
      <c r="B12" s="6" t="n">
        <v>8000</v>
      </c>
      <c r="C12" s="6" t="n">
        <v>100</v>
      </c>
      <c r="D12" s="6" t="n">
        <v>25</v>
      </c>
      <c r="E12" s="6" t="n">
        <v>3</v>
      </c>
      <c r="F12" s="6">
        <f>C12*'修为折算'!$D$6+D12*'修为折算'!$D$8+E12*'修为折算'!$D$12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12" customWidth="1" min="3" max="3"/>
    <col width="13" customWidth="1" min="4" max="4"/>
    <col width="9" customWidth="1" min="5" max="5"/>
    <col width="9" customWidth="1" min="6" max="6"/>
    <col width="12" customWidth="1" min="7" max="7"/>
    <col width="8" customWidth="1" min="8" max="8"/>
    <col width="46" customWidth="1" min="9" max="9"/>
  </cols>
  <sheetData>
    <row r="1" ht="26" customHeight="1">
      <c r="A1" s="1" t="inlineStr">
        <is>
          <t>技能（16 个；前 4 个为初始技能，其余通过修行/卡牌解锁）</t>
        </is>
      </c>
    </row>
    <row r="2" ht="30" customHeight="1">
      <c r="A2" s="4" t="inlineStr">
        <is>
          <t>技能ID</t>
        </is>
      </c>
      <c r="B2" s="4" t="inlineStr">
        <is>
          <t>图标</t>
        </is>
      </c>
      <c r="C2" s="4" t="inlineStr">
        <is>
          <t>名称</t>
        </is>
      </c>
      <c r="D2" s="4" t="inlineStr">
        <is>
          <t>类型</t>
        </is>
      </c>
      <c r="E2" s="4" t="inlineStr">
        <is>
          <t>能量消耗</t>
        </is>
      </c>
      <c r="F2" s="4" t="inlineStr">
        <is>
          <t>冷却(s)</t>
        </is>
      </c>
      <c r="G2" s="4" t="inlineStr">
        <is>
          <t>射程/范围</t>
        </is>
      </c>
      <c r="H2" s="4" t="inlineStr">
        <is>
          <t>伤害</t>
        </is>
      </c>
      <c r="I2" s="4" t="inlineStr">
        <is>
          <t>效果</t>
        </is>
      </c>
    </row>
    <row r="3">
      <c r="A3" s="3" t="inlineStr">
        <is>
          <t>straw_smash</t>
        </is>
      </c>
      <c r="B3" s="5" t="inlineStr">
        <is>
          <t>🌾</t>
        </is>
      </c>
      <c r="C3" s="3" t="inlineStr">
        <is>
          <t>稻草猛击</t>
        </is>
      </c>
      <c r="D3" s="5" t="inlineStr">
        <is>
          <t>aoe</t>
        </is>
      </c>
      <c r="E3" s="6" t="n">
        <v>20</v>
      </c>
      <c r="F3" s="10" t="n">
        <v>3</v>
      </c>
      <c r="G3" s="5" t="n">
        <v>95</v>
      </c>
      <c r="H3" s="6" t="n">
        <v>35</v>
      </c>
      <c r="I3" s="3" t="inlineStr">
        <is>
          <t>横扫周围敌人造成伤害并短暂眩晕。</t>
        </is>
      </c>
    </row>
    <row r="4">
      <c r="A4" s="3" t="inlineStr">
        <is>
          <t>vine_bind</t>
        </is>
      </c>
      <c r="B4" s="5" t="inlineStr">
        <is>
          <t>🌿</t>
        </is>
      </c>
      <c r="C4" s="3" t="inlineStr">
        <is>
          <t>藤蔓缠绕</t>
        </is>
      </c>
      <c r="D4" s="5" t="inlineStr">
        <is>
          <t>root</t>
        </is>
      </c>
      <c r="E4" s="6" t="n">
        <v>26</v>
      </c>
      <c r="F4" s="10" t="n">
        <v>6</v>
      </c>
      <c r="G4" s="5" t="n">
        <v>150</v>
      </c>
      <c r="H4" s="6" t="n">
        <v>12</v>
      </c>
      <c r="I4" s="3" t="inlineStr">
        <is>
          <t>藤蔓缠绕周围敌人，定身并造成少量伤害。</t>
        </is>
      </c>
    </row>
    <row r="5">
      <c r="A5" s="3" t="inlineStr">
        <is>
          <t>earth_dash</t>
        </is>
      </c>
      <c r="B5" s="5" t="inlineStr">
        <is>
          <t>💨</t>
        </is>
      </c>
      <c r="C5" s="3" t="inlineStr">
        <is>
          <t>泥土遁走</t>
        </is>
      </c>
      <c r="D5" s="5" t="inlineStr">
        <is>
          <t>dash</t>
        </is>
      </c>
      <c r="E5" s="6" t="n">
        <v>22</v>
      </c>
      <c r="F5" s="10" t="n">
        <v>4.5</v>
      </c>
      <c r="G5" s="5" t="inlineStr">
        <is>
          <t>—</t>
        </is>
      </c>
      <c r="H5" s="6" t="inlineStr">
        <is>
          <t>—</t>
        </is>
      </c>
      <c r="I5" s="3" t="inlineStr">
        <is>
          <t>向鼠标方向突进，过程无敌。</t>
        </is>
      </c>
    </row>
    <row r="6">
      <c r="A6" s="3" t="inlineStr">
        <is>
          <t>smoke_screen</t>
        </is>
      </c>
      <c r="B6" s="5" t="inlineStr">
        <is>
          <t>💨</t>
        </is>
      </c>
      <c r="C6" s="3" t="inlineStr">
        <is>
          <t>烟幕诀</t>
        </is>
      </c>
      <c r="D6" s="5" t="inlineStr">
        <is>
          <t>stealth</t>
        </is>
      </c>
      <c r="E6" s="6" t="n">
        <v>30</v>
      </c>
      <c r="F6" s="10" t="n">
        <v>9</v>
      </c>
      <c r="G6" s="5" t="inlineStr">
        <is>
          <t>—</t>
        </is>
      </c>
      <c r="H6" s="6" t="inlineStr">
        <is>
          <t>—</t>
        </is>
      </c>
      <c r="I6" s="3" t="inlineStr">
        <is>
          <t>释放烟幕进入隐身，怪物丢失目标。</t>
        </is>
      </c>
    </row>
    <row r="7">
      <c r="A7" s="3" t="inlineStr">
        <is>
          <t>chili_breath</t>
        </is>
      </c>
      <c r="B7" s="5" t="inlineStr">
        <is>
          <t>🌶️</t>
        </is>
      </c>
      <c r="C7" s="3" t="inlineStr">
        <is>
          <t>辣椒火息</t>
        </is>
      </c>
      <c r="D7" s="5" t="inlineStr">
        <is>
          <t>cone</t>
        </is>
      </c>
      <c r="E7" s="6" t="n">
        <v>34</v>
      </c>
      <c r="F7" s="10" t="n">
        <v>7</v>
      </c>
      <c r="G7" s="5" t="n">
        <v>170</v>
      </c>
      <c r="H7" s="6" t="n">
        <v>22</v>
      </c>
      <c r="I7" s="3" t="inlineStr">
        <is>
          <t>锥形火焰持续灼烧，附加燃烧。</t>
        </is>
      </c>
    </row>
    <row r="8">
      <c r="A8" s="3" t="inlineStr">
        <is>
          <t>pea_storm</t>
        </is>
      </c>
      <c r="B8" s="5" t="inlineStr">
        <is>
          <t>🌀</t>
        </is>
      </c>
      <c r="C8" s="3" t="inlineStr">
        <is>
          <t>豌豆风暴</t>
        </is>
      </c>
      <c r="D8" s="5" t="inlineStr">
        <is>
          <t>channel_peas</t>
        </is>
      </c>
      <c r="E8" s="6" t="n">
        <v>40</v>
      </c>
      <c r="F8" s="10" t="n">
        <v>12</v>
      </c>
      <c r="G8" s="5" t="n">
        <v>520</v>
      </c>
      <c r="H8" s="6" t="n">
        <v>10</v>
      </c>
      <c r="I8" s="3" t="inlineStr">
        <is>
          <t>3 秒内连续发射速射弹幕。</t>
        </is>
      </c>
    </row>
    <row r="9">
      <c r="A9" s="3" t="inlineStr">
        <is>
          <t>frost_barrier</t>
        </is>
      </c>
      <c r="B9" s="5" t="inlineStr">
        <is>
          <t>🧊</t>
        </is>
      </c>
      <c r="C9" s="3" t="inlineStr">
        <is>
          <t>寒冰屏障</t>
        </is>
      </c>
      <c r="D9" s="5" t="inlineStr">
        <is>
          <t>frost</t>
        </is>
      </c>
      <c r="E9" s="6" t="n">
        <v>38</v>
      </c>
      <c r="F9" s="10" t="n">
        <v>13</v>
      </c>
      <c r="G9" s="5" t="n">
        <v>110</v>
      </c>
      <c r="H9" s="6" t="n">
        <v>8</v>
      </c>
      <c r="I9" s="3" t="inlineStr">
        <is>
          <t>获得护盾，近身敌人被减速。</t>
        </is>
      </c>
    </row>
    <row r="10">
      <c r="A10" s="3" t="inlineStr">
        <is>
          <t>thorn_burst</t>
        </is>
      </c>
      <c r="B10" s="5" t="inlineStr">
        <is>
          <t>🌵</t>
        </is>
      </c>
      <c r="C10" s="3" t="inlineStr">
        <is>
          <t>荆棘爆发</t>
        </is>
      </c>
      <c r="D10" s="5" t="inlineStr">
        <is>
          <t>thorns</t>
        </is>
      </c>
      <c r="E10" s="6" t="n">
        <v>36</v>
      </c>
      <c r="F10" s="10" t="n">
        <v>14</v>
      </c>
      <c r="G10" s="5" t="n">
        <v>95</v>
      </c>
      <c r="H10" s="6" t="inlineStr">
        <is>
          <t>—</t>
        </is>
      </c>
      <c r="I10" s="3" t="inlineStr">
        <is>
          <t>8 秒反伤光环，近身敌人持续受创。</t>
        </is>
      </c>
    </row>
    <row r="11">
      <c r="A11" s="3" t="inlineStr">
        <is>
          <t>earth_slam</t>
        </is>
      </c>
      <c r="B11" s="5" t="inlineStr">
        <is>
          <t>💥</t>
        </is>
      </c>
      <c r="C11" s="3" t="inlineStr">
        <is>
          <t>裂地猛击</t>
        </is>
      </c>
      <c r="D11" s="5" t="inlineStr">
        <is>
          <t>slam</t>
        </is>
      </c>
      <c r="E11" s="6" t="n">
        <v>42</v>
      </c>
      <c r="F11" s="10" t="n">
        <v>10</v>
      </c>
      <c r="G11" s="5" t="inlineStr">
        <is>
          <t>360/半径95</t>
        </is>
      </c>
      <c r="H11" s="6" t="n">
        <v>60</v>
      </c>
      <c r="I11" s="3" t="inlineStr">
        <is>
          <t>猛砸鼠标指定点，范围伤害并眩晕。</t>
        </is>
      </c>
    </row>
    <row r="12">
      <c r="A12" s="3" t="inlineStr">
        <is>
          <t>gale_slash</t>
        </is>
      </c>
      <c r="B12" s="5" t="inlineStr">
        <is>
          <t>🗡️</t>
        </is>
      </c>
      <c r="C12" s="3" t="inlineStr">
        <is>
          <t>疾风斩</t>
        </is>
      </c>
      <c r="D12" s="5" t="inlineStr">
        <is>
          <t>gale</t>
        </is>
      </c>
      <c r="E12" s="6" t="n">
        <v>30</v>
      </c>
      <c r="F12" s="10" t="n">
        <v>6.5</v>
      </c>
      <c r="G12" s="5" t="n">
        <v>300</v>
      </c>
      <c r="H12" s="6" t="n">
        <v>30</v>
      </c>
      <c r="I12" s="3" t="inlineStr">
        <is>
          <t>突进并留下穿透风刃。</t>
        </is>
      </c>
    </row>
    <row r="13">
      <c r="A13" s="3" t="inlineStr">
        <is>
          <t>healing_rain</t>
        </is>
      </c>
      <c r="B13" s="5" t="inlineStr">
        <is>
          <t>🌦️</t>
        </is>
      </c>
      <c r="C13" s="3" t="inlineStr">
        <is>
          <t>治愈甘霖</t>
        </is>
      </c>
      <c r="D13" s="5" t="inlineStr">
        <is>
          <t>heal</t>
        </is>
      </c>
      <c r="E13" s="6" t="n">
        <v>44</v>
      </c>
      <c r="F13" s="10" t="n">
        <v>16</v>
      </c>
      <c r="G13" s="5" t="n">
        <v>120</v>
      </c>
      <c r="H13" s="6" t="inlineStr">
        <is>
          <t>—</t>
        </is>
      </c>
      <c r="I13" s="3" t="inlineStr">
        <is>
          <t>5 秒范围持续回血。</t>
        </is>
      </c>
    </row>
    <row r="14">
      <c r="A14" s="3" t="inlineStr">
        <is>
          <t>sun_drum</t>
        </is>
      </c>
      <c r="B14" s="5" t="inlineStr">
        <is>
          <t>🥁</t>
        </is>
      </c>
      <c r="C14" s="3" t="inlineStr">
        <is>
          <t>骄阳战鼓</t>
        </is>
      </c>
      <c r="D14" s="5" t="inlineStr">
        <is>
          <t>drum</t>
        </is>
      </c>
      <c r="E14" s="6" t="n">
        <v>40</v>
      </c>
      <c r="F14" s="10" t="n">
        <v>18</v>
      </c>
      <c r="G14" s="5" t="inlineStr">
        <is>
          <t>—</t>
        </is>
      </c>
      <c r="H14" s="6" t="inlineStr">
        <is>
          <t>—</t>
        </is>
      </c>
      <c r="I14" s="3" t="inlineStr">
        <is>
          <t>10 秒攻速/移速提升。</t>
        </is>
      </c>
    </row>
    <row r="15">
      <c r="A15" s="3" t="inlineStr">
        <is>
          <t>poison_mist</t>
        </is>
      </c>
      <c r="B15" s="5" t="inlineStr">
        <is>
          <t>☠️</t>
        </is>
      </c>
      <c r="C15" s="3" t="inlineStr">
        <is>
          <t>毒雾蔓延</t>
        </is>
      </c>
      <c r="D15" s="5" t="inlineStr">
        <is>
          <t>poison</t>
        </is>
      </c>
      <c r="E15" s="6" t="n">
        <v>46</v>
      </c>
      <c r="F15" s="10" t="n">
        <v>15</v>
      </c>
      <c r="G15" s="5" t="inlineStr">
        <is>
          <t>380/半径120</t>
        </is>
      </c>
      <c r="H15" s="6" t="n">
        <v>16</v>
      </c>
      <c r="I15" s="3" t="inlineStr">
        <is>
          <t>指定点毒云，持续伤害并致盲。</t>
        </is>
      </c>
    </row>
    <row r="16">
      <c r="A16" s="3" t="inlineStr">
        <is>
          <t>iron_armor</t>
        </is>
      </c>
      <c r="B16" s="5" t="inlineStr">
        <is>
          <t>🛡️</t>
        </is>
      </c>
      <c r="C16" s="3" t="inlineStr">
        <is>
          <t>金刚藤甲</t>
        </is>
      </c>
      <c r="D16" s="5" t="inlineStr">
        <is>
          <t>armor</t>
        </is>
      </c>
      <c r="E16" s="6" t="n">
        <v>48</v>
      </c>
      <c r="F16" s="10" t="n">
        <v>20</v>
      </c>
      <c r="G16" s="5" t="inlineStr">
        <is>
          <t>—</t>
        </is>
      </c>
      <c r="H16" s="6" t="inlineStr">
        <is>
          <t>—</t>
        </is>
      </c>
      <c r="I16" s="3" t="inlineStr">
        <is>
          <t>6 秒减伤 50% 且霸体（不受硬直）。</t>
        </is>
      </c>
    </row>
    <row r="17">
      <c r="A17" s="3" t="inlineStr">
        <is>
          <t>thunder_chain</t>
        </is>
      </c>
      <c r="B17" s="5" t="inlineStr">
        <is>
          <t>⚡</t>
        </is>
      </c>
      <c r="C17" s="3" t="inlineStr">
        <is>
          <t>雷霆链</t>
        </is>
      </c>
      <c r="D17" s="5" t="inlineStr">
        <is>
          <t>chain</t>
        </is>
      </c>
      <c r="E17" s="6" t="n">
        <v>42</v>
      </c>
      <c r="F17" s="10" t="n">
        <v>9</v>
      </c>
      <c r="G17" s="5" t="n">
        <v>420</v>
      </c>
      <c r="H17" s="6" t="n">
        <v>34</v>
      </c>
      <c r="I17" s="3" t="inlineStr">
        <is>
          <t>闪电在最多 5 个敌人间跳跃。</t>
        </is>
      </c>
    </row>
    <row r="18">
      <c r="A18" s="3" t="inlineStr">
        <is>
          <t>death_scythe</t>
        </is>
      </c>
      <c r="B18" s="5" t="inlineStr">
        <is>
          <t>🌀</t>
        </is>
      </c>
      <c r="C18" s="3" t="inlineStr">
        <is>
          <t>死神镰舞</t>
        </is>
      </c>
      <c r="D18" s="5" t="inlineStr">
        <is>
          <t>channel_scythe</t>
        </is>
      </c>
      <c r="E18" s="6" t="n">
        <v>70</v>
      </c>
      <c r="F18" s="10" t="n">
        <v>24</v>
      </c>
      <c r="G18" s="5" t="n">
        <v>120</v>
      </c>
      <c r="H18" s="6" t="n">
        <v>48</v>
      </c>
      <c r="I18" s="3" t="inlineStr">
        <is>
          <t>3 秒旋转斩，持续绞杀周围敌人。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4" customWidth="1" min="3" max="3"/>
    <col width="8" customWidth="1" min="4" max="4"/>
    <col width="11" customWidth="1" min="5" max="5"/>
    <col width="40" customWidth="1" min="6" max="6"/>
    <col width="13" customWidth="1" min="7" max="7"/>
  </cols>
  <sheetData>
    <row r="1" ht="26" customHeight="1">
      <c r="A1" s="1" t="inlineStr">
        <is>
          <t>消耗品（26 种；仅 3 种战术品有快捷键、可在准备大厅携带，上限 5 件）</t>
        </is>
      </c>
    </row>
    <row r="2" ht="30" customHeight="1">
      <c r="A2" s="4" t="inlineStr">
        <is>
          <t>道具ID</t>
        </is>
      </c>
      <c r="B2" s="4" t="inlineStr">
        <is>
          <t>图标</t>
        </is>
      </c>
      <c r="C2" s="4" t="inlineStr">
        <is>
          <t>名称</t>
        </is>
      </c>
      <c r="D2" s="4" t="inlineStr">
        <is>
          <t>快捷键</t>
        </is>
      </c>
      <c r="E2" s="4" t="inlineStr">
        <is>
          <t>商店价(金)</t>
        </is>
      </c>
      <c r="F2" s="4" t="inlineStr">
        <is>
          <t>效果</t>
        </is>
      </c>
      <c r="G2" s="4" t="inlineStr">
        <is>
          <t>准备大厅可携带</t>
        </is>
      </c>
    </row>
    <row r="3">
      <c r="A3" s="3" t="inlineStr">
        <is>
          <t>herb_kit</t>
        </is>
      </c>
      <c r="B3" s="5" t="inlineStr">
        <is>
          <t>💊</t>
        </is>
      </c>
      <c r="C3" s="3" t="inlineStr">
        <is>
          <t>草药包扎包</t>
        </is>
      </c>
      <c r="D3" s="5" t="inlineStr">
        <is>
          <t>Q</t>
        </is>
      </c>
      <c r="E3" s="6" t="n">
        <v>40</v>
      </c>
      <c r="F3" s="3" t="inlineStr">
        <is>
          <t>回复50点生命值</t>
        </is>
      </c>
      <c r="G3" s="5" t="inlineStr">
        <is>
          <t>是</t>
        </is>
      </c>
    </row>
    <row r="4">
      <c r="A4" s="3" t="inlineStr">
        <is>
          <t>thorn_storm</t>
        </is>
      </c>
      <c r="B4" s="5" t="inlineStr">
        <is>
          <t>🌵</t>
        </is>
      </c>
      <c r="C4" s="3" t="inlineStr">
        <is>
          <t>荆棘狂潮</t>
        </is>
      </c>
      <c r="D4" s="5" t="inlineStr">
        <is>
          <t>R</t>
        </is>
      </c>
      <c r="E4" s="6" t="n">
        <v>120</v>
      </c>
      <c r="F4" s="3" t="inlineStr">
        <is>
          <t>大范围80点AOE伤害</t>
        </is>
      </c>
      <c r="G4" s="5" t="inlineStr">
        <is>
          <t>是</t>
        </is>
      </c>
    </row>
    <row r="5">
      <c r="A5" s="3" t="inlineStr">
        <is>
          <t>signal_flare</t>
        </is>
      </c>
      <c r="B5" s="5" t="inlineStr">
        <is>
          <t>🔥</t>
        </is>
      </c>
      <c r="C5" s="3" t="inlineStr">
        <is>
          <t>撤离信号弹</t>
        </is>
      </c>
      <c r="D5" s="5" t="inlineStr">
        <is>
          <t>E</t>
        </is>
      </c>
      <c r="E5" s="6" t="n">
        <v>280</v>
      </c>
      <c r="F5" s="3" t="inlineStr">
        <is>
          <t>就地召唤撤离点（需宝箱获取）</t>
        </is>
      </c>
      <c r="G5" s="5" t="inlineStr">
        <is>
          <t>是</t>
        </is>
      </c>
    </row>
    <row r="6">
      <c r="A6" s="3" t="inlineStr">
        <is>
          <t>beartrap_item</t>
        </is>
      </c>
      <c r="B6" s="5" t="inlineStr">
        <is>
          <t>🪤</t>
        </is>
      </c>
      <c r="C6" s="3" t="inlineStr">
        <is>
          <t>捕兽夹</t>
        </is>
      </c>
      <c r="D6" s="5" t="inlineStr">
        <is>
          <t>—</t>
        </is>
      </c>
      <c r="E6" s="6" t="n">
        <v>45</v>
      </c>
      <c r="F6" s="3" t="inlineStr">
        <is>
          <t>在鼠标位置放置，定身踩中的敌人 3 秒。</t>
        </is>
      </c>
      <c r="G6" s="5" t="inlineStr">
        <is>
          <t>否</t>
        </is>
      </c>
    </row>
    <row r="7">
      <c r="A7" s="3" t="inlineStr">
        <is>
          <t>war_horn</t>
        </is>
      </c>
      <c r="B7" s="5" t="inlineStr">
        <is>
          <t>📯</t>
        </is>
      </c>
      <c r="C7" s="3" t="inlineStr">
        <is>
          <t>战吼号角</t>
        </is>
      </c>
      <c r="D7" s="5" t="inlineStr">
        <is>
          <t>—</t>
        </is>
      </c>
      <c r="E7" s="6" t="n">
        <v>70</v>
      </c>
      <c r="F7" s="3" t="inlineStr">
        <is>
          <t>放置图腾，12 秒内周围攻速 +40%。</t>
        </is>
      </c>
      <c r="G7" s="5" t="inlineStr">
        <is>
          <t>否</t>
        </is>
      </c>
    </row>
    <row r="8">
      <c r="A8" s="3" t="inlineStr">
        <is>
          <t>scout_eagle</t>
        </is>
      </c>
      <c r="B8" s="5" t="inlineStr">
        <is>
          <t>🦅</t>
        </is>
      </c>
      <c r="C8" s="3" t="inlineStr">
        <is>
          <t>侦察鹰</t>
        </is>
      </c>
      <c r="D8" s="5" t="inlineStr">
        <is>
          <t>—</t>
        </is>
      </c>
      <c r="E8" s="6" t="n">
        <v>55</v>
      </c>
      <c r="F8" s="3" t="inlineStr">
        <is>
          <t>8 秒内视野大幅扩大并驱散迷雾。</t>
        </is>
      </c>
      <c r="G8" s="5" t="inlineStr">
        <is>
          <t>否</t>
        </is>
      </c>
    </row>
    <row r="9">
      <c r="A9" s="3" t="inlineStr">
        <is>
          <t>purify_tonic</t>
        </is>
      </c>
      <c r="B9" s="5" t="inlineStr">
        <is>
          <t>🧴</t>
        </is>
      </c>
      <c r="C9" s="3" t="inlineStr">
        <is>
          <t>净化药剂</t>
        </is>
      </c>
      <c r="D9" s="5" t="inlineStr">
        <is>
          <t>—</t>
        </is>
      </c>
      <c r="E9" s="6" t="n">
        <v>40</v>
      </c>
      <c r="F9" s="3" t="inlineStr">
        <is>
          <t>清除自身减速/中毒等负面状态。</t>
        </is>
      </c>
      <c r="G9" s="5" t="inlineStr">
        <is>
          <t>否</t>
        </is>
      </c>
    </row>
    <row r="10">
      <c r="A10" s="3" t="inlineStr">
        <is>
          <t>rage_tonic</t>
        </is>
      </c>
      <c r="B10" s="5" t="inlineStr">
        <is>
          <t>💉</t>
        </is>
      </c>
      <c r="C10" s="3" t="inlineStr">
        <is>
          <t>狂暴药剂</t>
        </is>
      </c>
      <c r="D10" s="5" t="inlineStr">
        <is>
          <t>—</t>
        </is>
      </c>
      <c r="E10" s="6" t="n">
        <v>65</v>
      </c>
      <c r="F10" s="3" t="inlineStr">
        <is>
          <t>8 秒伤害 +50%，但受伤 +15%。</t>
        </is>
      </c>
      <c r="G10" s="5" t="inlineStr">
        <is>
          <t>否</t>
        </is>
      </c>
    </row>
    <row r="11">
      <c r="A11" s="3" t="inlineStr">
        <is>
          <t>shield_gen</t>
        </is>
      </c>
      <c r="B11" s="5" t="inlineStr">
        <is>
          <t>🛡️</t>
        </is>
      </c>
      <c r="C11" s="3" t="inlineStr">
        <is>
          <t>护盾发生器</t>
        </is>
      </c>
      <c r="D11" s="5" t="inlineStr">
        <is>
          <t>—</t>
        </is>
      </c>
      <c r="E11" s="6" t="n">
        <v>80</v>
      </c>
      <c r="F11" s="3" t="inlineStr">
        <is>
          <t>获得 120 点护盾，持续 10 秒。</t>
        </is>
      </c>
      <c r="G11" s="5" t="inlineStr">
        <is>
          <t>否</t>
        </is>
      </c>
    </row>
    <row r="12">
      <c r="A12" s="3" t="inlineStr">
        <is>
          <t>rotting_bait</t>
        </is>
      </c>
      <c r="B12" s="5" t="inlineStr">
        <is>
          <t>🍖</t>
        </is>
      </c>
      <c r="C12" s="3" t="inlineStr">
        <is>
          <t>腐肉诱饵</t>
        </is>
      </c>
      <c r="D12" s="5" t="inlineStr">
        <is>
          <t>—</t>
        </is>
      </c>
      <c r="E12" s="6" t="n">
        <v>45</v>
      </c>
      <c r="F12" s="3" t="inlineStr">
        <is>
          <t>扔向鼠标点，吸引怪物聚集 8 秒。</t>
        </is>
      </c>
      <c r="G12" s="5" t="inlineStr">
        <is>
          <t>否</t>
        </is>
      </c>
    </row>
    <row r="13">
      <c r="A13" s="3" t="inlineStr">
        <is>
          <t>med_shot</t>
        </is>
      </c>
      <c r="B13" s="5" t="inlineStr">
        <is>
          <t>💊</t>
        </is>
      </c>
      <c r="C13" s="3" t="inlineStr">
        <is>
          <t>急救针</t>
        </is>
      </c>
      <c r="D13" s="5" t="inlineStr">
        <is>
          <t>—</t>
        </is>
      </c>
      <c r="E13" s="6" t="n">
        <v>90</v>
      </c>
      <c r="F13" s="3" t="inlineStr">
        <is>
          <t>瞬间回复 50% 最大生命。</t>
        </is>
      </c>
      <c r="G13" s="5" t="inlineStr">
        <is>
          <t>否</t>
        </is>
      </c>
    </row>
    <row r="14">
      <c r="A14" s="3" t="inlineStr">
        <is>
          <t>death_pardon</t>
        </is>
      </c>
      <c r="B14" s="5" t="inlineStr">
        <is>
          <t>📜</t>
        </is>
      </c>
      <c r="C14" s="3" t="inlineStr">
        <is>
          <t>免死令</t>
        </is>
      </c>
      <c r="D14" s="5" t="inlineStr">
        <is>
          <t>—</t>
        </is>
      </c>
      <c r="E14" s="6" t="n">
        <v>300</v>
      </c>
      <c r="F14" s="3" t="inlineStr">
        <is>
          <t>阵亡时自动消耗，免除一次降级。</t>
        </is>
      </c>
      <c r="G14" s="5" t="inlineStr">
        <is>
          <t>否</t>
        </is>
      </c>
    </row>
    <row r="15">
      <c r="A15" s="3" t="inlineStr">
        <is>
          <t>shield_elixir</t>
        </is>
      </c>
      <c r="B15" s="5" t="inlineStr">
        <is>
          <t>🧊</t>
        </is>
      </c>
      <c r="C15" s="3" t="inlineStr">
        <is>
          <t>冰心护盾药</t>
        </is>
      </c>
      <c r="D15" s="5" t="inlineStr">
        <is>
          <t>—</t>
        </is>
      </c>
      <c r="E15" s="6" t="n">
        <v>120</v>
      </c>
      <c r="F15" s="3" t="inlineStr">
        <is>
          <t>获得 150 点护盾，直到被击破。</t>
        </is>
      </c>
      <c r="G15" s="5" t="inlineStr">
        <is>
          <t>否</t>
        </is>
      </c>
    </row>
    <row r="16">
      <c r="A16" s="3" t="inlineStr">
        <is>
          <t>flame_elixir</t>
        </is>
      </c>
      <c r="B16" s="5" t="inlineStr">
        <is>
          <t>🔥</t>
        </is>
      </c>
      <c r="C16" s="3" t="inlineStr">
        <is>
          <t>赤炎药剂</t>
        </is>
      </c>
      <c r="D16" s="5" t="inlineStr">
        <is>
          <t>—</t>
        </is>
      </c>
      <c r="E16" s="6" t="n">
        <v>120</v>
      </c>
      <c r="F16" s="3" t="inlineStr">
        <is>
          <t>12 秒攻击 +20%，并清除中毒。</t>
        </is>
      </c>
      <c r="G16" s="5" t="inlineStr">
        <is>
          <t>否</t>
        </is>
      </c>
    </row>
    <row r="17">
      <c r="A17" s="3" t="inlineStr">
        <is>
          <t>wraith_draft</t>
        </is>
      </c>
      <c r="B17" s="5" t="inlineStr">
        <is>
          <t>🪻</t>
        </is>
      </c>
      <c r="C17" s="3" t="inlineStr">
        <is>
          <t>幽魂秘药</t>
        </is>
      </c>
      <c r="D17" s="5" t="inlineStr">
        <is>
          <t>—</t>
        </is>
      </c>
      <c r="E17" s="6" t="n">
        <v>180</v>
      </c>
      <c r="F17" s="3" t="inlineStr">
        <is>
          <t>隐身 5 秒，怪物丢失目标。</t>
        </is>
      </c>
      <c r="G17" s="5" t="inlineStr">
        <is>
          <t>否</t>
        </is>
      </c>
    </row>
    <row r="18">
      <c r="A18" s="3" t="inlineStr">
        <is>
          <t>energy_cell</t>
        </is>
      </c>
      <c r="B18" s="5" t="inlineStr">
        <is>
          <t>🔋</t>
        </is>
      </c>
      <c r="C18" s="3" t="inlineStr">
        <is>
          <t>能量电池</t>
        </is>
      </c>
      <c r="D18" s="5" t="inlineStr">
        <is>
          <t>—</t>
        </is>
      </c>
      <c r="E18" s="6" t="n">
        <v>140</v>
      </c>
      <c r="F18" s="3" t="inlineStr">
        <is>
          <t>瞬间回满能量。</t>
        </is>
      </c>
      <c r="G18" s="5" t="inlineStr">
        <is>
          <t>否</t>
        </is>
      </c>
    </row>
    <row r="19">
      <c r="A19" s="3" t="inlineStr">
        <is>
          <t>grape_juice</t>
        </is>
      </c>
      <c r="B19" s="5" t="inlineStr">
        <is>
          <t>🍇</t>
        </is>
      </c>
      <c r="C19" s="3" t="inlineStr">
        <is>
          <t>葡萄能量饮</t>
        </is>
      </c>
      <c r="D19" s="5" t="inlineStr">
        <is>
          <t>—</t>
        </is>
      </c>
      <c r="E19" s="6" t="n">
        <v>100</v>
      </c>
      <c r="F19" s="3" t="inlineStr">
        <is>
          <t>15 秒内能量回复翻倍。</t>
        </is>
      </c>
      <c r="G19" s="5" t="inlineStr">
        <is>
          <t>否</t>
        </is>
      </c>
    </row>
    <row r="20">
      <c r="A20" s="3" t="inlineStr">
        <is>
          <t>bread</t>
        </is>
      </c>
      <c r="B20" s="5" t="inlineStr">
        <is>
          <t>🍞</t>
        </is>
      </c>
      <c r="C20" s="3" t="inlineStr">
        <is>
          <t>面包</t>
        </is>
      </c>
      <c r="D20" s="5" t="inlineStr">
        <is>
          <t>—</t>
        </is>
      </c>
      <c r="E20" s="6" t="n">
        <v>60</v>
      </c>
      <c r="F20" s="3" t="inlineStr">
        <is>
          <t>立刻回复 80 点生命。</t>
        </is>
      </c>
      <c r="G20" s="5" t="inlineStr">
        <is>
          <t>否</t>
        </is>
      </c>
    </row>
    <row r="21">
      <c r="A21" s="3" t="inlineStr">
        <is>
          <t>medkit</t>
        </is>
      </c>
      <c r="B21" s="5" t="inlineStr">
        <is>
          <t>🩹</t>
        </is>
      </c>
      <c r="C21" s="3" t="inlineStr">
        <is>
          <t>急救包</t>
        </is>
      </c>
      <c r="D21" s="5" t="inlineStr">
        <is>
          <t>—</t>
        </is>
      </c>
      <c r="E21" s="6" t="n">
        <v>130</v>
      </c>
      <c r="F21" s="3" t="inlineStr">
        <is>
          <t>立刻回复 200 点生命。</t>
        </is>
      </c>
      <c r="G21" s="5" t="inlineStr">
        <is>
          <t>否</t>
        </is>
      </c>
    </row>
    <row r="22">
      <c r="A22" s="3" t="inlineStr">
        <is>
          <t>ketchup</t>
        </is>
      </c>
      <c r="B22" s="5" t="inlineStr">
        <is>
          <t>🥫</t>
        </is>
      </c>
      <c r="C22" s="3" t="inlineStr">
        <is>
          <t>番茄酱</t>
        </is>
      </c>
      <c r="D22" s="5" t="inlineStr">
        <is>
          <t>—</t>
        </is>
      </c>
      <c r="E22" s="6" t="n">
        <v>90</v>
      </c>
      <c r="F22" s="3" t="inlineStr">
        <is>
          <t>立刻回复 150 点生命。</t>
        </is>
      </c>
      <c r="G22" s="5" t="inlineStr">
        <is>
          <t>否</t>
        </is>
      </c>
    </row>
    <row r="23">
      <c r="A23" s="3" t="inlineStr">
        <is>
          <t>juice</t>
        </is>
      </c>
      <c r="B23" s="5" t="inlineStr">
        <is>
          <t>🧃</t>
        </is>
      </c>
      <c r="C23" s="3" t="inlineStr">
        <is>
          <t>西瓜汁</t>
        </is>
      </c>
      <c r="D23" s="5" t="inlineStr">
        <is>
          <t>—</t>
        </is>
      </c>
      <c r="E23" s="6" t="n">
        <v>70</v>
      </c>
      <c r="F23" s="3" t="inlineStr">
        <is>
          <t>本局能量上限 +40 并回满。</t>
        </is>
      </c>
      <c r="G23" s="5" t="inlineStr">
        <is>
          <t>否</t>
        </is>
      </c>
    </row>
    <row r="24">
      <c r="A24" s="3" t="inlineStr">
        <is>
          <t>egg</t>
        </is>
      </c>
      <c r="B24" s="5" t="inlineStr">
        <is>
          <t>🥚</t>
        </is>
      </c>
      <c r="C24" s="3" t="inlineStr">
        <is>
          <t>荒野鸡蛋</t>
        </is>
      </c>
      <c r="D24" s="5" t="inlineStr">
        <is>
          <t>—</t>
        </is>
      </c>
      <c r="E24" s="6" t="n">
        <v>80</v>
      </c>
      <c r="F24" s="3" t="inlineStr">
        <is>
          <t>120 秒内攻击 +15%。</t>
        </is>
      </c>
      <c r="G24" s="5" t="inlineStr">
        <is>
          <t>否</t>
        </is>
      </c>
    </row>
    <row r="25">
      <c r="A25" s="3" t="inlineStr">
        <is>
          <t>mint_tea</t>
        </is>
      </c>
      <c r="B25" s="5" t="inlineStr">
        <is>
          <t>🍵</t>
        </is>
      </c>
      <c r="C25" s="3" t="inlineStr">
        <is>
          <t>薄荷茶</t>
        </is>
      </c>
      <c r="D25" s="5" t="inlineStr">
        <is>
          <t>—</t>
        </is>
      </c>
      <c r="E25" s="6" t="n">
        <v>70</v>
      </c>
      <c r="F25" s="3" t="inlineStr">
        <is>
          <t>60 秒内移速 +15%。</t>
        </is>
      </c>
      <c r="G25" s="5" t="inlineStr">
        <is>
          <t>否</t>
        </is>
      </c>
    </row>
    <row r="26">
      <c r="A26" s="3" t="inlineStr">
        <is>
          <t>ginseng_soup</t>
        </is>
      </c>
      <c r="B26" s="5" t="inlineStr">
        <is>
          <t>🍲</t>
        </is>
      </c>
      <c r="C26" s="3" t="inlineStr">
        <is>
          <t>人参汤</t>
        </is>
      </c>
      <c r="D26" s="5" t="inlineStr">
        <is>
          <t>—</t>
        </is>
      </c>
      <c r="E26" s="6" t="n">
        <v>260</v>
      </c>
      <c r="F26" s="3" t="inlineStr">
        <is>
          <t>回满生命，60 秒攻击 +20%。</t>
        </is>
      </c>
      <c r="G26" s="5" t="inlineStr">
        <is>
          <t>否</t>
        </is>
      </c>
    </row>
    <row r="27">
      <c r="A27" s="3" t="inlineStr">
        <is>
          <t>torch</t>
        </is>
      </c>
      <c r="B27" s="5" t="inlineStr">
        <is>
          <t>🔥</t>
        </is>
      </c>
      <c r="C27" s="3" t="inlineStr">
        <is>
          <t>火把</t>
        </is>
      </c>
      <c r="D27" s="5" t="inlineStr">
        <is>
          <t>—</t>
        </is>
      </c>
      <c r="E27" s="6" t="n">
        <v>50</v>
      </c>
      <c r="F27" s="3" t="inlineStr">
        <is>
          <t>60 秒视野 +25%，可反复使用。</t>
        </is>
      </c>
      <c r="G27" s="5" t="inlineStr">
        <is>
          <t>否</t>
        </is>
      </c>
    </row>
    <row r="28">
      <c r="A28" s="3" t="inlineStr">
        <is>
          <t>poison_bomb</t>
        </is>
      </c>
      <c r="B28" s="5" t="inlineStr">
        <is>
          <t>☠️</t>
        </is>
      </c>
      <c r="C28" s="3" t="inlineStr">
        <is>
          <t>毒雾弹</t>
        </is>
      </c>
      <c r="D28" s="5" t="inlineStr">
        <is>
          <t>—</t>
        </is>
      </c>
      <c r="E28" s="6" t="n">
        <v>110</v>
      </c>
      <c r="F28" s="3" t="inlineStr">
        <is>
          <t>投掷后范围 60 伤害并减速 3 秒。</t>
        </is>
      </c>
      <c r="G28" s="5" t="inlineStr">
        <is>
          <t>否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12" customWidth="1" min="3" max="3"/>
    <col width="7" customWidth="1" min="4" max="4"/>
    <col width="8" customWidth="1" min="5" max="5"/>
    <col width="7" customWidth="1" min="6" max="6"/>
    <col width="7" customWidth="1" min="7" max="7"/>
    <col width="9" customWidth="1" min="8" max="8"/>
    <col width="20" customWidth="1" min="9" max="9"/>
    <col width="34" customWidth="1" min="10" max="10"/>
    <col width="20" customWidth="1" min="11" max="11"/>
    <col width="30" customWidth="1" min="12" max="12"/>
  </cols>
  <sheetData>
    <row r="1" ht="26" customHeight="1">
      <c r="A1" s="1" t="inlineStr">
        <is>
          <t>Boss（12 只，每只独立状态机与特效）</t>
        </is>
      </c>
    </row>
    <row r="2" ht="30" customHeight="1">
      <c r="A2" s="4" t="inlineStr">
        <is>
          <t>Boss ID</t>
        </is>
      </c>
      <c r="B2" s="4" t="inlineStr">
        <is>
          <t>图标</t>
        </is>
      </c>
      <c r="C2" s="4" t="inlineStr">
        <is>
          <t>名称</t>
        </is>
      </c>
      <c r="D2" s="4" t="inlineStr">
        <is>
          <t>层级</t>
        </is>
      </c>
      <c r="E2" s="4" t="inlineStr">
        <is>
          <t>生命</t>
        </is>
      </c>
      <c r="F2" s="4" t="inlineStr">
        <is>
          <t>攻击</t>
        </is>
      </c>
      <c r="G2" s="4" t="inlineStr">
        <is>
          <t>移速</t>
        </is>
      </c>
      <c r="H2" s="4" t="inlineStr">
        <is>
          <t>体型半径</t>
        </is>
      </c>
      <c r="I2" s="4" t="inlineStr">
        <is>
          <t>行为类型</t>
        </is>
      </c>
      <c r="J2" s="4" t="inlineStr">
        <is>
          <t>技能机制（v5.1 差异化）</t>
        </is>
      </c>
      <c r="K2" s="4" t="inlineStr">
        <is>
          <t>掉落材料</t>
        </is>
      </c>
      <c r="L2" s="4" t="inlineStr">
        <is>
          <t>二阶段</t>
        </is>
      </c>
    </row>
    <row r="3">
      <c r="A3" s="3" t="inlineStr">
        <is>
          <t>t1_boar_king</t>
        </is>
      </c>
      <c r="B3" s="5" t="inlineStr">
        <is>
          <t>🐗</t>
        </is>
      </c>
      <c r="C3" s="3" t="inlineStr">
        <is>
          <t>狂暴野猪王</t>
        </is>
      </c>
      <c r="D3" s="5" t="inlineStr">
        <is>
          <t>T1</t>
        </is>
      </c>
      <c r="E3" s="6" t="n">
        <v>820</v>
      </c>
      <c r="F3" s="6" t="n">
        <v>20</v>
      </c>
      <c r="G3" s="6" t="n">
        <v>96</v>
      </c>
      <c r="H3" s="6" t="n">
        <v>46</v>
      </c>
      <c r="I3" s="3" t="inlineStr">
        <is>
          <t>近战·冲锋</t>
        </is>
      </c>
      <c r="J3" s="3" t="inlineStr">
        <is>
          <t>震荡波 + 锁定冲锋（半血狂暴）</t>
        </is>
      </c>
      <c r="K3" s="3" t="inlineStr">
        <is>
          <t>巨兽獠牙、铁矿、石料</t>
        </is>
      </c>
      <c r="L3" s="3" t="inlineStr">
        <is>
          <t>60%/30% 血：攻速移速提升、冲锋更频繁</t>
        </is>
      </c>
    </row>
    <row r="4">
      <c r="A4" s="3" t="inlineStr">
        <is>
          <t>t1_withered</t>
        </is>
      </c>
      <c r="B4" s="5" t="inlineStr">
        <is>
          <t>🌳</t>
        </is>
      </c>
      <c r="C4" s="3" t="inlineStr">
        <is>
          <t>枯木精</t>
        </is>
      </c>
      <c r="D4" s="5" t="inlineStr">
        <is>
          <t>T1</t>
        </is>
      </c>
      <c r="E4" s="6" t="n">
        <v>900</v>
      </c>
      <c r="F4" s="6" t="n">
        <v>18</v>
      </c>
      <c r="G4" s="6" t="n">
        <v>70</v>
      </c>
      <c r="H4" s="6" t="n">
        <v>48</v>
      </c>
      <c r="I4" s="3" t="inlineStr">
        <is>
          <t>近战·控场治疗</t>
        </is>
      </c>
      <c r="J4" s="3" t="inlineStr">
        <is>
          <t>树根缠绕定身 + 回血光环</t>
        </is>
      </c>
      <c r="K4" s="3" t="inlineStr">
        <is>
          <t>巨兽獠牙、木材、植物纤维</t>
        </is>
      </c>
      <c r="L4" s="3" t="inlineStr">
        <is>
          <t>低血缠绕+回血频率提升</t>
        </is>
      </c>
    </row>
    <row r="5">
      <c r="A5" s="3" t="inlineStr">
        <is>
          <t>t1_quarry</t>
        </is>
      </c>
      <c r="B5" s="5" t="inlineStr">
        <is>
          <t>🗿</t>
        </is>
      </c>
      <c r="C5" s="3" t="inlineStr">
        <is>
          <t>采石巨魔</t>
        </is>
      </c>
      <c r="D5" s="5" t="inlineStr">
        <is>
          <t>T1</t>
        </is>
      </c>
      <c r="E5" s="6" t="n">
        <v>980</v>
      </c>
      <c r="F5" s="6" t="n">
        <v>24</v>
      </c>
      <c r="G5" s="6" t="n">
        <v>64</v>
      </c>
      <c r="H5" s="6" t="n">
        <v>50</v>
      </c>
      <c r="I5" s="3" t="inlineStr">
        <is>
          <t>近战+远程·护甲</t>
        </is>
      </c>
      <c r="J5" s="3" t="inlineStr">
        <is>
          <t>范围投石 + 岩石护甲减伤</t>
        </is>
      </c>
      <c r="K5" s="3" t="inlineStr">
        <is>
          <t>巨兽獠牙、石料、铁矿</t>
        </is>
      </c>
      <c r="L5" s="3" t="inlineStr">
        <is>
          <t>低血岩石护甲刷新、投石更密</t>
        </is>
      </c>
    </row>
    <row r="6">
      <c r="A6" s="3" t="inlineStr">
        <is>
          <t>t2_gargoyle_lord</t>
        </is>
      </c>
      <c r="B6" s="5" t="inlineStr">
        <is>
          <t>🦇</t>
        </is>
      </c>
      <c r="C6" s="3" t="inlineStr">
        <is>
          <t>石像鬼王</t>
        </is>
      </c>
      <c r="D6" s="5" t="inlineStr">
        <is>
          <t>T2</t>
        </is>
      </c>
      <c r="E6" s="6" t="n">
        <v>1180</v>
      </c>
      <c r="F6" s="6" t="n">
        <v>25</v>
      </c>
      <c r="G6" s="6" t="n">
        <v>104</v>
      </c>
      <c r="H6" s="6" t="n">
        <v>46</v>
      </c>
      <c r="I6" s="3" t="inlineStr">
        <is>
          <t>飞行·近战+弹幕</t>
        </is>
      </c>
      <c r="J6" s="3" t="inlineStr">
        <is>
          <t>石化凝视 + 俯冲 + 弹幕散射</t>
        </is>
      </c>
      <c r="K6" s="3" t="inlineStr">
        <is>
          <t>巨兽獠牙、甲壳、石料</t>
        </is>
      </c>
      <c r="L6" s="3" t="inlineStr">
        <is>
          <t>低血俯冲连携散射</t>
        </is>
      </c>
    </row>
    <row r="7">
      <c r="A7" s="3" t="inlineStr">
        <is>
          <t>t2_ruin_golem</t>
        </is>
      </c>
      <c r="B7" s="5" t="inlineStr">
        <is>
          <t>🗿</t>
        </is>
      </c>
      <c r="C7" s="3" t="inlineStr">
        <is>
          <t>废墟魔像</t>
        </is>
      </c>
      <c r="D7" s="5" t="inlineStr">
        <is>
          <t>T2</t>
        </is>
      </c>
      <c r="E7" s="6" t="n">
        <v>1320</v>
      </c>
      <c r="F7" s="6" t="n">
        <v>27</v>
      </c>
      <c r="G7" s="6" t="n">
        <v>60</v>
      </c>
      <c r="H7" s="6" t="n">
        <v>52</v>
      </c>
      <c r="I7" s="3" t="inlineStr">
        <is>
          <t>坦克·召唤分裂+远程</t>
        </is>
      </c>
      <c r="J7" s="3" t="inlineStr">
        <is>
          <t>血量分裂 + 反伤岩石护盾 + 碎石弹</t>
        </is>
      </c>
      <c r="K7" s="3" t="inlineStr">
        <is>
          <t>巨兽獠牙、精铁锭、晶核</t>
        </is>
      </c>
      <c r="L7" s="3" t="inlineStr">
        <is>
          <t>血量分裂为小怪、反伤护盾</t>
        </is>
      </c>
    </row>
    <row r="8">
      <c r="A8" s="3" t="inlineStr">
        <is>
          <t>t3_swamp_hag</t>
        </is>
      </c>
      <c r="B8" s="5" t="inlineStr">
        <is>
          <t>🧙‍♀️</t>
        </is>
      </c>
      <c r="C8" s="3" t="inlineStr">
        <is>
          <t>沼泽巫妪</t>
        </is>
      </c>
      <c r="D8" s="5" t="inlineStr">
        <is>
          <t>T3</t>
        </is>
      </c>
      <c r="E8" s="6" t="n">
        <v>1500</v>
      </c>
      <c r="F8" s="6" t="n">
        <v>28</v>
      </c>
      <c r="G8" s="6" t="n">
        <v>82</v>
      </c>
      <c r="H8" s="6" t="n">
        <v>46</v>
      </c>
      <c r="I8" s="3" t="inlineStr">
        <is>
          <t>远程风筝·陷阱·天气</t>
        </is>
      </c>
      <c r="J8" s="3" t="inlineStr">
        <is>
          <t>毒沼陷阱 + 召唤雾天 + 诅咒毒弹（远程风筝）</t>
        </is>
      </c>
      <c r="K8" s="3" t="inlineStr">
        <is>
          <t>巨兽獠牙、毒腺、魂烬</t>
        </is>
      </c>
      <c r="L8" s="3" t="inlineStr">
        <is>
          <t>低血毒弹连射、雾天常驻</t>
        </is>
      </c>
    </row>
    <row r="9">
      <c r="A9" s="3" t="inlineStr">
        <is>
          <t>t3_brood_mother</t>
        </is>
      </c>
      <c r="B9" s="5" t="inlineStr">
        <is>
          <t>🕷️</t>
        </is>
      </c>
      <c r="C9" s="3" t="inlineStr">
        <is>
          <t>虫母</t>
        </is>
      </c>
      <c r="D9" s="5" t="inlineStr">
        <is>
          <t>T3</t>
        </is>
      </c>
      <c r="E9" s="6" t="n">
        <v>1640</v>
      </c>
      <c r="F9" s="6" t="n">
        <v>24</v>
      </c>
      <c r="G9" s="6" t="n">
        <v>72</v>
      </c>
      <c r="H9" s="6" t="n">
        <v>52</v>
      </c>
      <c r="I9" s="3" t="inlineStr">
        <is>
          <t>召唤·陷阱</t>
        </is>
      </c>
      <c r="J9" s="3" t="inlineStr">
        <is>
          <t>产卵虫潮 + 蛛网陷阱</t>
        </is>
      </c>
      <c r="K9" s="3" t="inlineStr">
        <is>
          <t>巨兽獠牙、甲壳、毒腺</t>
        </is>
      </c>
      <c r="L9" s="3" t="inlineStr">
        <is>
          <t>低血虫潮产卵加速、蛛网封锁</t>
        </is>
      </c>
    </row>
    <row r="10">
      <c r="A10" s="3" t="inlineStr">
        <is>
          <t>t3_scorch_demon</t>
        </is>
      </c>
      <c r="B10" s="5" t="inlineStr">
        <is>
          <t>🔥</t>
        </is>
      </c>
      <c r="C10" s="3" t="inlineStr">
        <is>
          <t>焦林炎魔</t>
        </is>
      </c>
      <c r="D10" s="5" t="inlineStr">
        <is>
          <t>T3</t>
        </is>
      </c>
      <c r="E10" s="6" t="n">
        <v>1720</v>
      </c>
      <c r="F10" s="6" t="n">
        <v>32</v>
      </c>
      <c r="G10" s="6" t="n">
        <v>88</v>
      </c>
      <c r="H10" s="6" t="n">
        <v>48</v>
      </c>
      <c r="I10" s="3" t="inlineStr">
        <is>
          <t>近战+远程·陷阱·天气</t>
        </is>
      </c>
      <c r="J10" s="3" t="inlineStr">
        <is>
          <t>火雨陷阱 + 召唤雷暴 + 火焰连射</t>
        </is>
      </c>
      <c r="K10" s="3" t="inlineStr">
        <is>
          <t>巨兽獠牙、晶核、魂烬</t>
        </is>
      </c>
      <c r="L10" s="3" t="inlineStr">
        <is>
          <t>低血召唤雷暴、火弹三轮连射</t>
        </is>
      </c>
    </row>
    <row r="11">
      <c r="A11" s="3" t="inlineStr">
        <is>
          <t>t4_abyss_lord</t>
        </is>
      </c>
      <c r="B11" s="5" t="inlineStr">
        <is>
          <t>👹</t>
        </is>
      </c>
      <c r="C11" s="3" t="inlineStr">
        <is>
          <t>深渊领主</t>
        </is>
      </c>
      <c r="D11" s="5" t="inlineStr">
        <is>
          <t>T4</t>
        </is>
      </c>
      <c r="E11" s="6" t="n">
        <v>2100</v>
      </c>
      <c r="F11" s="6" t="n">
        <v>34</v>
      </c>
      <c r="G11" s="6" t="n">
        <v>80</v>
      </c>
      <c r="H11" s="6" t="n">
        <v>56</v>
      </c>
      <c r="I11" s="3" t="inlineStr">
        <is>
          <t>召唤·复活·天气</t>
        </is>
      </c>
      <c r="J11" s="3" t="inlineStr">
        <is>
          <t>复活尸体 + 深渊领域（雾天召唤）</t>
        </is>
      </c>
      <c r="K11" s="3" t="inlineStr">
        <is>
          <t>巨兽獠牙、魂烬、晶核</t>
        </is>
      </c>
      <c r="L11" s="3" t="inlineStr">
        <is>
          <t>低血复活场上尸体、深渊雾领域</t>
        </is>
      </c>
    </row>
    <row r="12">
      <c r="A12" s="3" t="inlineStr">
        <is>
          <t>t4_time_warden</t>
        </is>
      </c>
      <c r="B12" s="5" t="inlineStr">
        <is>
          <t>⏳</t>
        </is>
      </c>
      <c r="C12" s="3" t="inlineStr">
        <is>
          <t>时空守望</t>
        </is>
      </c>
      <c r="D12" s="5" t="inlineStr">
        <is>
          <t>T4</t>
        </is>
      </c>
      <c r="E12" s="6" t="n">
        <v>1980</v>
      </c>
      <c r="F12" s="6" t="n">
        <v>33</v>
      </c>
      <c r="G12" s="6" t="n">
        <v>92</v>
      </c>
      <c r="H12" s="6" t="n">
        <v>48</v>
      </c>
      <c r="I12" s="3" t="inlineStr">
        <is>
          <t>传送·弹幕</t>
        </is>
      </c>
      <c r="J12" s="3" t="inlineStr">
        <is>
          <t>传送凝滞 + 环形弹幕齐射</t>
        </is>
      </c>
      <c r="K12" s="3" t="inlineStr">
        <is>
          <t>巨兽獠牙、魂烬、精铁锭</t>
        </is>
      </c>
      <c r="L12" s="3" t="inlineStr">
        <is>
          <t>低血传送凝滞+环形弹幕齐射</t>
        </is>
      </c>
    </row>
    <row r="13">
      <c r="A13" s="3" t="inlineStr">
        <is>
          <t>t4_moon_priestess</t>
        </is>
      </c>
      <c r="B13" s="5" t="inlineStr">
        <is>
          <t>🌙</t>
        </is>
      </c>
      <c r="C13" s="3" t="inlineStr">
        <is>
          <t>月之祭司</t>
        </is>
      </c>
      <c r="D13" s="5" t="inlineStr">
        <is>
          <t>T4</t>
        </is>
      </c>
      <c r="E13" s="6" t="n">
        <v>1900</v>
      </c>
      <c r="F13" s="6" t="n">
        <v>31</v>
      </c>
      <c r="G13" s="6" t="n">
        <v>86</v>
      </c>
      <c r="H13" s="6" t="n">
        <v>46</v>
      </c>
      <c r="I13" s="3" t="inlineStr">
        <is>
          <t>治疗·召唤·天气·远程</t>
        </is>
      </c>
      <c r="J13" s="3" t="inlineStr">
        <is>
          <t>月光治疗 + 夜魇雾天召唤 + 月光弹</t>
        </is>
      </c>
      <c r="K13" s="3" t="inlineStr">
        <is>
          <t>巨兽獠牙、魂烬、晶核</t>
        </is>
      </c>
      <c r="L13" s="3" t="inlineStr">
        <is>
          <t>低血月光治疗+夜魇雾天召唤</t>
        </is>
      </c>
    </row>
    <row r="14">
      <c r="A14" s="3" t="inlineStr">
        <is>
          <t>t4_arena_champion</t>
        </is>
      </c>
      <c r="B14" s="5" t="inlineStr">
        <is>
          <t>⚔️</t>
        </is>
      </c>
      <c r="C14" s="3" t="inlineStr">
        <is>
          <t>竞技场冠军</t>
        </is>
      </c>
      <c r="D14" s="5" t="inlineStr">
        <is>
          <t>T4</t>
        </is>
      </c>
      <c r="E14" s="6" t="n">
        <v>2240</v>
      </c>
      <c r="F14" s="6" t="n">
        <v>38</v>
      </c>
      <c r="G14" s="6" t="n">
        <v>112</v>
      </c>
      <c r="H14" s="6" t="n">
        <v>48</v>
      </c>
      <c r="I14" s="3" t="inlineStr">
        <is>
          <t>近战连招·冲锋</t>
        </is>
      </c>
      <c r="J14" s="3" t="inlineStr">
        <is>
          <t>突刺/横扫/跳劈三段连招 + 半血狂暴</t>
        </is>
      </c>
      <c r="K14" s="3" t="inlineStr">
        <is>
          <t>巨兽獠牙、精铁锭、晶核</t>
        </is>
      </c>
      <c r="L14" s="3" t="inlineStr">
        <is>
          <t>50% 血狂暴：突刺/横扫/跳劈连招加速</t>
        </is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2" customWidth="1" min="3" max="3"/>
    <col width="8" customWidth="1" min="4" max="4"/>
    <col width="7" customWidth="1" min="5" max="5"/>
    <col width="7" customWidth="1" min="6" max="6"/>
    <col width="9" customWidth="1" min="7" max="7"/>
    <col width="11" customWidth="1" min="8" max="8"/>
    <col width="7" customWidth="1" min="9" max="9"/>
    <col width="7" customWidth="1" min="10" max="10"/>
    <col width="40" customWidth="1" min="11" max="11"/>
  </cols>
  <sheetData>
    <row r="1" ht="26" customHeight="1">
      <c r="A1" s="1" t="inlineStr">
        <is>
          <t>普通怪与精英怪（23 种；Boss 见 Boss 表）</t>
        </is>
      </c>
    </row>
    <row r="2" ht="30" customHeight="1">
      <c r="A2" s="4" t="inlineStr">
        <is>
          <t>怪物ID</t>
        </is>
      </c>
      <c r="B2" s="4" t="inlineStr">
        <is>
          <t>图标</t>
        </is>
      </c>
      <c r="C2" s="4" t="inlineStr">
        <is>
          <t>名称</t>
        </is>
      </c>
      <c r="D2" s="4" t="inlineStr">
        <is>
          <t>生命</t>
        </is>
      </c>
      <c r="E2" s="4" t="inlineStr">
        <is>
          <t>伤害</t>
        </is>
      </c>
      <c r="F2" s="4" t="inlineStr">
        <is>
          <t>移速</t>
        </is>
      </c>
      <c r="G2" s="4" t="inlineStr">
        <is>
          <t>攻击范围</t>
        </is>
      </c>
      <c r="H2" s="4" t="inlineStr">
        <is>
          <t>攻击间隔(s)</t>
        </is>
      </c>
      <c r="I2" s="4" t="inlineStr">
        <is>
          <t>经验</t>
        </is>
      </c>
      <c r="J2" s="4" t="inlineStr">
        <is>
          <t>金币</t>
        </is>
      </c>
      <c r="K2" s="4" t="inlineStr">
        <is>
          <t>特性</t>
        </is>
      </c>
    </row>
    <row r="3">
      <c r="A3" s="3" t="inlineStr">
        <is>
          <t>boar</t>
        </is>
      </c>
      <c r="B3" s="5" t="inlineStr">
        <is>
          <t>🐗</t>
        </is>
      </c>
      <c r="C3" s="3" t="inlineStr">
        <is>
          <t>野猪</t>
        </is>
      </c>
      <c r="D3" s="6" t="n">
        <v>60</v>
      </c>
      <c r="E3" s="6" t="n">
        <v>15</v>
      </c>
      <c r="F3" s="6" t="n">
        <v>140</v>
      </c>
      <c r="G3" s="6" t="n">
        <v>40</v>
      </c>
      <c r="H3" s="8" t="n">
        <v>1.2</v>
      </c>
      <c r="I3" s="6" t="n">
        <v>10</v>
      </c>
      <c r="J3" s="6" t="n">
        <v>8</v>
      </c>
      <c r="K3" s="3" t="inlineStr">
        <is>
          <t>—</t>
        </is>
      </c>
    </row>
    <row r="4">
      <c r="A4" s="3" t="inlineStr">
        <is>
          <t>bat</t>
        </is>
      </c>
      <c r="B4" s="5" t="inlineStr">
        <is>
          <t>🦇</t>
        </is>
      </c>
      <c r="C4" s="3" t="inlineStr">
        <is>
          <t>腐翼蝙蝠</t>
        </is>
      </c>
      <c r="D4" s="6" t="n">
        <v>32</v>
      </c>
      <c r="E4" s="6" t="n">
        <v>10</v>
      </c>
      <c r="F4" s="6" t="n">
        <v>205</v>
      </c>
      <c r="G4" s="6" t="n">
        <v>42</v>
      </c>
      <c r="H4" s="8" t="n">
        <v>0.9</v>
      </c>
      <c r="I4" s="6" t="n">
        <v>9</v>
      </c>
      <c r="J4" s="6" t="n">
        <v>6</v>
      </c>
      <c r="K4" s="3" t="inlineStr">
        <is>
          <t>飞行</t>
        </is>
      </c>
    </row>
    <row r="5">
      <c r="A5" s="3" t="inlineStr">
        <is>
          <t>spider</t>
        </is>
      </c>
      <c r="B5" s="5" t="inlineStr">
        <is>
          <t>🕷️</t>
        </is>
      </c>
      <c r="C5" s="3" t="inlineStr">
        <is>
          <t>毒雾蛛</t>
        </is>
      </c>
      <c r="D5" s="6" t="n">
        <v>44</v>
      </c>
      <c r="E5" s="6" t="n">
        <v>13</v>
      </c>
      <c r="F5" s="6" t="n">
        <v>108</v>
      </c>
      <c r="G5" s="6" t="n">
        <v>260</v>
      </c>
      <c r="H5" s="8" t="n">
        <v>1.65</v>
      </c>
      <c r="I5" s="6" t="n">
        <v>11</v>
      </c>
      <c r="J5" s="6" t="n">
        <v>8</v>
      </c>
      <c r="K5" s="3" t="inlineStr">
        <is>
          <t>远程</t>
        </is>
      </c>
    </row>
    <row r="6">
      <c r="A6" s="3" t="inlineStr">
        <is>
          <t>locust</t>
        </is>
      </c>
      <c r="B6" s="5" t="inlineStr">
        <is>
          <t>🦗</t>
        </is>
      </c>
      <c r="C6" s="3" t="inlineStr">
        <is>
          <t>巨型蝗虫</t>
        </is>
      </c>
      <c r="D6" s="6" t="n">
        <v>35</v>
      </c>
      <c r="E6" s="6" t="n">
        <v>8</v>
      </c>
      <c r="F6" s="6" t="n">
        <v>160</v>
      </c>
      <c r="G6" s="6" t="n">
        <v>200</v>
      </c>
      <c r="H6" s="8" t="n">
        <v>1.8</v>
      </c>
      <c r="I6" s="6" t="n">
        <v>8</v>
      </c>
      <c r="J6" s="6" t="n">
        <v>5</v>
      </c>
      <c r="K6" s="3" t="inlineStr">
        <is>
          <t>远程</t>
        </is>
      </c>
    </row>
    <row r="7">
      <c r="A7" s="3" t="inlineStr">
        <is>
          <t>wolf</t>
        </is>
      </c>
      <c r="B7" s="5" t="inlineStr">
        <is>
          <t>🐺</t>
        </is>
      </c>
      <c r="C7" s="3" t="inlineStr">
        <is>
          <t>野狼</t>
        </is>
      </c>
      <c r="D7" s="6" t="n">
        <v>50</v>
      </c>
      <c r="E7" s="6" t="n">
        <v>12</v>
      </c>
      <c r="F7" s="6" t="n">
        <v>180</v>
      </c>
      <c r="G7" s="6" t="n">
        <v>35</v>
      </c>
      <c r="H7" s="8" t="n">
        <v>1</v>
      </c>
      <c r="I7" s="6" t="n">
        <v>12</v>
      </c>
      <c r="J7" s="6" t="n">
        <v>10</v>
      </c>
      <c r="K7" s="3" t="inlineStr">
        <is>
          <t>—</t>
        </is>
      </c>
    </row>
    <row r="8">
      <c r="A8" s="3" t="inlineStr">
        <is>
          <t>armored_boar</t>
        </is>
      </c>
      <c r="B8" s="5" t="inlineStr">
        <is>
          <t>🐗</t>
        </is>
      </c>
      <c r="C8" s="3" t="inlineStr">
        <is>
          <t>厚甲猪</t>
        </is>
      </c>
      <c r="D8" s="6" t="n">
        <v>95</v>
      </c>
      <c r="E8" s="6" t="n">
        <v>18</v>
      </c>
      <c r="F8" s="6" t="n">
        <v>105</v>
      </c>
      <c r="G8" s="6" t="n">
        <v>40</v>
      </c>
      <c r="H8" s="8" t="n">
        <v>1.35</v>
      </c>
      <c r="I8" s="6" t="n">
        <v>18</v>
      </c>
      <c r="J8" s="6" t="n">
        <v>16</v>
      </c>
      <c r="K8" s="3" t="inlineStr">
        <is>
          <t>减伤50%；披甲重装怪：减伤50%，专克输出植物</t>
        </is>
      </c>
    </row>
    <row r="9">
      <c r="A9" s="3" t="inlineStr">
        <is>
          <t>swift_wolf</t>
        </is>
      </c>
      <c r="B9" s="5" t="inlineStr">
        <is>
          <t>🐺</t>
        </is>
      </c>
      <c r="C9" s="3" t="inlineStr">
        <is>
          <t>疾风狼</t>
        </is>
      </c>
      <c r="D9" s="6" t="n">
        <v>46</v>
      </c>
      <c r="E9" s="6" t="n">
        <v>12</v>
      </c>
      <c r="F9" s="6" t="n">
        <v>240</v>
      </c>
      <c r="G9" s="6" t="n">
        <v>36</v>
      </c>
      <c r="H9" s="8" t="n">
        <v>0.85</v>
      </c>
      <c r="I9" s="6" t="n">
        <v>13</v>
      </c>
      <c r="J9" s="6" t="n">
        <v>11</v>
      </c>
      <c r="K9" s="3" t="inlineStr">
        <is>
          <t>免疫减速；速度极快且免疫减速，专克减速植物</t>
        </is>
      </c>
    </row>
    <row r="10">
      <c r="A10" s="3" t="inlineStr">
        <is>
          <t>herbivore</t>
        </is>
      </c>
      <c r="B10" s="5" t="inlineStr">
        <is>
          <t>🦌</t>
        </is>
      </c>
      <c r="C10" s="3" t="inlineStr">
        <is>
          <t>食草兽</t>
        </is>
      </c>
      <c r="D10" s="6" t="n">
        <v>62</v>
      </c>
      <c r="E10" s="6" t="n">
        <v>11</v>
      </c>
      <c r="F10" s="6" t="n">
        <v>118</v>
      </c>
      <c r="G10" s="6" t="n">
        <v>34</v>
      </c>
      <c r="H10" s="8" t="n">
        <v>1.15</v>
      </c>
      <c r="I10" s="6" t="n">
        <v>15</v>
      </c>
      <c r="J10" s="6" t="n">
        <v>12</v>
      </c>
      <c r="K10" s="3" t="inlineStr">
        <is>
          <t>优先啃植物；专啃植物防线，优先攻击植物</t>
        </is>
      </c>
    </row>
    <row r="11">
      <c r="A11" s="3" t="inlineStr">
        <is>
          <t>treant</t>
        </is>
      </c>
      <c r="B11" s="5" t="inlineStr">
        <is>
          <t>🌳</t>
        </is>
      </c>
      <c r="C11" s="3" t="inlineStr">
        <is>
          <t>树精</t>
        </is>
      </c>
      <c r="D11" s="6" t="n">
        <v>140</v>
      </c>
      <c r="E11" s="6" t="n">
        <v>22</v>
      </c>
      <c r="F11" s="6" t="n">
        <v>80</v>
      </c>
      <c r="G11" s="6" t="n">
        <v>45</v>
      </c>
      <c r="H11" s="8" t="n">
        <v>1.4</v>
      </c>
      <c r="I11" s="6" t="n">
        <v>25</v>
      </c>
      <c r="J11" s="6" t="n">
        <v>20</v>
      </c>
      <c r="K11" s="3" t="inlineStr">
        <is>
          <t>周围回血8/s；近战肉盾，周围友军每秒回血8</t>
        </is>
      </c>
    </row>
    <row r="12">
      <c r="A12" s="3" t="inlineStr">
        <is>
          <t>gargoyle</t>
        </is>
      </c>
      <c r="B12" s="5" t="inlineStr">
        <is>
          <t>👿</t>
        </is>
      </c>
      <c r="C12" s="3" t="inlineStr">
        <is>
          <t>石像鬼</t>
        </is>
      </c>
      <c r="D12" s="6" t="n">
        <v>80</v>
      </c>
      <c r="E12" s="6" t="n">
        <v>18</v>
      </c>
      <c r="F12" s="6" t="n">
        <v>170</v>
      </c>
      <c r="G12" s="6" t="n">
        <v>40</v>
      </c>
      <c r="H12" s="8" t="n">
        <v>0.9</v>
      </c>
      <c r="I12" s="6" t="n">
        <v>28</v>
      </c>
      <c r="J12" s="6" t="n">
        <v>22</v>
      </c>
      <c r="K12" s="3" t="inlineStr">
        <is>
          <t>飞行；俯冲双倍伤；飞行怪，周期性俯冲造成双倍伤害</t>
        </is>
      </c>
    </row>
    <row r="13">
      <c r="A13" s="3" t="inlineStr">
        <is>
          <t>shadow_demon</t>
        </is>
      </c>
      <c r="B13" s="5" t="inlineStr">
        <is>
          <t>👤</t>
        </is>
      </c>
      <c r="C13" s="3" t="inlineStr">
        <is>
          <t>影魔</t>
        </is>
      </c>
      <c r="D13" s="6" t="n">
        <v>65</v>
      </c>
      <c r="E13" s="6" t="n">
        <v>25</v>
      </c>
      <c r="F13" s="6" t="n">
        <v>190</v>
      </c>
      <c r="G13" s="6" t="n">
        <v>38</v>
      </c>
      <c r="H13" s="8" t="n">
        <v>0.8</v>
      </c>
      <c r="I13" s="6" t="n">
        <v>35</v>
      </c>
      <c r="J13" s="6" t="n">
        <v>30</v>
      </c>
      <c r="K13" s="3" t="inlineStr">
        <is>
          <t>隐身瞬移；周期性隐身瞬移到玩家身边</t>
        </is>
      </c>
    </row>
    <row r="14">
      <c r="A14" s="3" t="inlineStr">
        <is>
          <t>boar_king</t>
        </is>
      </c>
      <c r="B14" s="5" t="inlineStr">
        <is>
          <t>🐗</t>
        </is>
      </c>
      <c r="C14" s="3" t="inlineStr">
        <is>
          <t>狂暴野猪王</t>
        </is>
      </c>
      <c r="D14" s="6" t="n">
        <v>350</v>
      </c>
      <c r="E14" s="6" t="n">
        <v>35</v>
      </c>
      <c r="F14" s="6" t="n">
        <v>150</v>
      </c>
      <c r="G14" s="6" t="n">
        <v>50</v>
      </c>
      <c r="H14" s="8" t="n">
        <v>1.1</v>
      </c>
      <c r="I14" s="6" t="n">
        <v>100</v>
      </c>
      <c r="J14" s="6" t="n">
        <v>120</v>
      </c>
      <c r="K14" s="3" t="inlineStr">
        <is>
          <t>蓄力冲锋；精英；精英：蓄力冲锋+震荡波</t>
        </is>
      </c>
    </row>
    <row r="15">
      <c r="A15" s="3" t="inlineStr">
        <is>
          <t>stone_golem</t>
        </is>
      </c>
      <c r="B15" s="5" t="inlineStr">
        <is>
          <t>🗿</t>
        </is>
      </c>
      <c r="C15" s="3" t="inlineStr">
        <is>
          <t>远古魔像</t>
        </is>
      </c>
      <c r="D15" s="6" t="n">
        <v>600</v>
      </c>
      <c r="E15" s="6" t="n">
        <v>28</v>
      </c>
      <c r="F15" s="6" t="n">
        <v>70</v>
      </c>
      <c r="G15" s="6" t="n">
        <v>55</v>
      </c>
      <c r="H15" s="8" t="n">
        <v>1.8</v>
      </c>
      <c r="I15" s="6" t="n">
        <v>150</v>
      </c>
      <c r="J15" s="6" t="n">
        <v>180</v>
      </c>
      <c r="K15" s="3" t="inlineStr">
        <is>
          <t>减伤60%；反伤15%；精英；精英：60%减伤+反弹15%伤害</t>
        </is>
      </c>
    </row>
    <row r="16">
      <c r="A16" s="3" t="inlineStr">
        <is>
          <t>treant_elder</t>
        </is>
      </c>
      <c r="B16" s="5" t="inlineStr">
        <is>
          <t>🌲</t>
        </is>
      </c>
      <c r="C16" s="3" t="inlineStr">
        <is>
          <t>树精长老</t>
        </is>
      </c>
      <c r="D16" s="6" t="n">
        <v>2500</v>
      </c>
      <c r="E16" s="6" t="n">
        <v>40</v>
      </c>
      <c r="F16" s="6" t="n">
        <v>60</v>
      </c>
      <c r="G16" s="6" t="n">
        <v>80</v>
      </c>
      <c r="H16" s="8" t="n">
        <v>1.5</v>
      </c>
      <c r="I16" s="6" t="n">
        <v>800</v>
      </c>
      <c r="J16" s="6" t="n">
        <v>1000</v>
      </c>
      <c r="K16" s="3" t="inlineStr">
        <is>
          <t>召唤树根；旧版 Boss（保留）；T1 Boss：召唤树根缠绕+范围毒雾</t>
        </is>
      </c>
    </row>
    <row r="17">
      <c r="A17" s="3" t="inlineStr">
        <is>
          <t>withered_treant</t>
        </is>
      </c>
      <c r="B17" s="5" t="inlineStr"/>
      <c r="C17" s="3" t="inlineStr">
        <is>
          <t>枯木守卫</t>
        </is>
      </c>
      <c r="D17" s="6" t="n">
        <v>260</v>
      </c>
      <c r="E17" s="6" t="n">
        <v>22</v>
      </c>
      <c r="F17" s="6" t="n">
        <v>70</v>
      </c>
      <c r="G17" s="6" t="n"/>
      <c r="H17" s="8" t="n"/>
      <c r="I17" s="6" t="inlineStr">
        <is>
          <t>—</t>
        </is>
      </c>
      <c r="J17" s="6" t="n">
        <v>26</v>
      </c>
      <c r="K17" s="3" t="inlineStr">
        <is>
          <t>回血6/s；精英</t>
        </is>
      </c>
    </row>
    <row r="18">
      <c r="A18" s="3" t="inlineStr">
        <is>
          <t>quarry_troll</t>
        </is>
      </c>
      <c r="B18" s="5" t="inlineStr"/>
      <c r="C18" s="3" t="inlineStr">
        <is>
          <t>采石巨魔</t>
        </is>
      </c>
      <c r="D18" s="6" t="n">
        <v>320</v>
      </c>
      <c r="E18" s="6" t="n">
        <v>26</v>
      </c>
      <c r="F18" s="6" t="n">
        <v>64</v>
      </c>
      <c r="G18" s="6" t="n"/>
      <c r="H18" s="8" t="n"/>
      <c r="I18" s="6" t="inlineStr">
        <is>
          <t>—</t>
        </is>
      </c>
      <c r="J18" s="6" t="n">
        <v>30</v>
      </c>
      <c r="K18" s="3" t="inlineStr">
        <is>
          <t>远程；减伤30%；精英</t>
        </is>
      </c>
    </row>
    <row r="19">
      <c r="A19" s="3" t="inlineStr">
        <is>
          <t>mill_wraith</t>
        </is>
      </c>
      <c r="B19" s="5" t="inlineStr"/>
      <c r="C19" s="3" t="inlineStr">
        <is>
          <t>磨坊怨灵</t>
        </is>
      </c>
      <c r="D19" s="6" t="n">
        <v>220</v>
      </c>
      <c r="E19" s="6" t="n">
        <v>20</v>
      </c>
      <c r="F19" s="6" t="n">
        <v>122</v>
      </c>
      <c r="G19" s="6" t="n"/>
      <c r="H19" s="8" t="n"/>
      <c r="I19" s="6" t="inlineStr">
        <is>
          <t>—</t>
        </is>
      </c>
      <c r="J19" s="6" t="n">
        <v>28</v>
      </c>
      <c r="K19" s="3" t="inlineStr">
        <is>
          <t>精英</t>
        </is>
      </c>
    </row>
    <row r="20">
      <c r="A20" s="3" t="inlineStr">
        <is>
          <t>shadow_assassin</t>
        </is>
      </c>
      <c r="B20" s="5" t="inlineStr"/>
      <c r="C20" s="3" t="inlineStr">
        <is>
          <t>暗影刺客</t>
        </is>
      </c>
      <c r="D20" s="6" t="n">
        <v>210</v>
      </c>
      <c r="E20" s="6" t="n">
        <v>30</v>
      </c>
      <c r="F20" s="6" t="n">
        <v>152</v>
      </c>
      <c r="G20" s="6" t="n"/>
      <c r="H20" s="8" t="n"/>
      <c r="I20" s="6" t="inlineStr">
        <is>
          <t>—</t>
        </is>
      </c>
      <c r="J20" s="6" t="n">
        <v>34</v>
      </c>
      <c r="K20" s="3" t="inlineStr">
        <is>
          <t>精英</t>
        </is>
      </c>
    </row>
    <row r="21">
      <c r="A21" s="3" t="inlineStr">
        <is>
          <t>brood_queen</t>
        </is>
      </c>
      <c r="B21" s="5" t="inlineStr"/>
      <c r="C21" s="3" t="inlineStr">
        <is>
          <t>育母蛛</t>
        </is>
      </c>
      <c r="D21" s="6" t="n">
        <v>360</v>
      </c>
      <c r="E21" s="6" t="n">
        <v>18</v>
      </c>
      <c r="F21" s="6" t="n">
        <v>70</v>
      </c>
      <c r="G21" s="6" t="n"/>
      <c r="H21" s="8" t="n"/>
      <c r="I21" s="6" t="inlineStr">
        <is>
          <t>—</t>
        </is>
      </c>
      <c r="J21" s="6" t="n">
        <v>32</v>
      </c>
      <c r="K21" s="3" t="inlineStr">
        <is>
          <t>召唤；精英</t>
        </is>
      </c>
    </row>
    <row r="22">
      <c r="A22" s="3" t="inlineStr">
        <is>
          <t>swamp_hag_elite</t>
        </is>
      </c>
      <c r="B22" s="5" t="inlineStr"/>
      <c r="C22" s="3" t="inlineStr">
        <is>
          <t>沼泽女巫</t>
        </is>
      </c>
      <c r="D22" s="6" t="n">
        <v>300</v>
      </c>
      <c r="E22" s="6" t="n">
        <v>24</v>
      </c>
      <c r="F22" s="6" t="n">
        <v>82</v>
      </c>
      <c r="G22" s="6" t="n"/>
      <c r="H22" s="8" t="n"/>
      <c r="I22" s="6" t="inlineStr">
        <is>
          <t>—</t>
        </is>
      </c>
      <c r="J22" s="6" t="n">
        <v>32</v>
      </c>
      <c r="K22" s="3" t="inlineStr">
        <is>
          <t>远程；精英</t>
        </is>
      </c>
    </row>
    <row r="23">
      <c r="A23" s="3" t="inlineStr">
        <is>
          <t>void_warden</t>
        </is>
      </c>
      <c r="B23" s="5" t="inlineStr"/>
      <c r="C23" s="3" t="inlineStr">
        <is>
          <t>虚空守卫</t>
        </is>
      </c>
      <c r="D23" s="6" t="n">
        <v>440</v>
      </c>
      <c r="E23" s="6" t="n">
        <v>30</v>
      </c>
      <c r="F23" s="6" t="n">
        <v>76</v>
      </c>
      <c r="G23" s="6" t="n"/>
      <c r="H23" s="8" t="n"/>
      <c r="I23" s="6" t="inlineStr">
        <is>
          <t>—</t>
        </is>
      </c>
      <c r="J23" s="6" t="n">
        <v>40</v>
      </c>
      <c r="K23" s="3" t="inlineStr">
        <is>
          <t>减伤35%；精英</t>
        </is>
      </c>
    </row>
    <row r="24">
      <c r="A24" s="3" t="inlineStr">
        <is>
          <t>moon_priestess_elite</t>
        </is>
      </c>
      <c r="B24" s="5" t="inlineStr"/>
      <c r="C24" s="3" t="inlineStr">
        <is>
          <t>月光祭司</t>
        </is>
      </c>
      <c r="D24" s="6" t="n">
        <v>320</v>
      </c>
      <c r="E24" s="6" t="n">
        <v>26</v>
      </c>
      <c r="F24" s="6" t="n">
        <v>86</v>
      </c>
      <c r="G24" s="6" t="n"/>
      <c r="H24" s="8" t="n"/>
      <c r="I24" s="6" t="inlineStr">
        <is>
          <t>—</t>
        </is>
      </c>
      <c r="J24" s="6" t="n">
        <v>38</v>
      </c>
      <c r="K24" s="3" t="inlineStr">
        <is>
          <t>治疗；精英</t>
        </is>
      </c>
    </row>
    <row r="25">
      <c r="A25" s="3" t="inlineStr">
        <is>
          <t>arena_elite</t>
        </is>
      </c>
      <c r="B25" s="5" t="inlineStr"/>
      <c r="C25" s="3" t="inlineStr">
        <is>
          <t>决斗精英</t>
        </is>
      </c>
      <c r="D25" s="6" t="n">
        <v>400</v>
      </c>
      <c r="E25" s="6" t="n">
        <v>34</v>
      </c>
      <c r="F25" s="6" t="n">
        <v>112</v>
      </c>
      <c r="G25" s="6" t="n"/>
      <c r="H25" s="8" t="n"/>
      <c r="I25" s="6" t="inlineStr">
        <is>
          <t>—</t>
        </is>
      </c>
      <c r="J25" s="6" t="n">
        <v>42</v>
      </c>
      <c r="K25" s="3" t="inlineStr">
        <is>
          <t>精英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0" customWidth="1" min="4" max="4"/>
    <col width="8" customWidth="1" min="5" max="5"/>
    <col width="20" customWidth="1" min="6" max="6"/>
    <col width="8" customWidth="1" min="7" max="7"/>
    <col width="8" customWidth="1" min="8" max="8"/>
    <col width="11" customWidth="1" min="9" max="9"/>
    <col width="9" customWidth="1" min="10" max="10"/>
    <col width="12" customWidth="1" min="11" max="11"/>
    <col width="14" customWidth="1" min="12" max="12"/>
    <col width="10" customWidth="1" min="13" max="13"/>
  </cols>
  <sheetData>
    <row r="1" ht="26" customHeight="1">
      <c r="A1" s="1" t="inlineStr">
        <is>
          <t>远征地图（24 张，每层级 6 张）</t>
        </is>
      </c>
    </row>
    <row r="2" ht="30" customHeight="1">
      <c r="A2" s="4" t="inlineStr">
        <is>
          <t>地图ID</t>
        </is>
      </c>
      <c r="B2" s="4" t="inlineStr">
        <is>
          <t>名称</t>
        </is>
      </c>
      <c r="C2" s="4" t="inlineStr">
        <is>
          <t>层级</t>
        </is>
      </c>
      <c r="D2" s="4" t="inlineStr">
        <is>
          <t>入场费(金)</t>
        </is>
      </c>
      <c r="E2" s="4" t="inlineStr">
        <is>
          <t>危险度</t>
        </is>
      </c>
      <c r="F2" s="4" t="inlineStr">
        <is>
          <t>地形修正</t>
        </is>
      </c>
      <c r="G2" s="4" t="inlineStr">
        <is>
          <t>怪物数</t>
        </is>
      </c>
      <c r="H2" s="4" t="inlineStr">
        <is>
          <t>宝箱数</t>
        </is>
      </c>
      <c r="I2" s="4" t="inlineStr">
        <is>
          <t>掠夺者波次</t>
        </is>
      </c>
      <c r="J2" s="4" t="inlineStr">
        <is>
          <t>天气倾向</t>
        </is>
      </c>
      <c r="K2" s="4" t="inlineStr">
        <is>
          <t>精英</t>
        </is>
      </c>
      <c r="L2" s="4" t="inlineStr">
        <is>
          <t>Boss</t>
        </is>
      </c>
      <c r="M2" s="4" t="inlineStr">
        <is>
          <t>稀有种子率</t>
        </is>
      </c>
    </row>
    <row r="3">
      <c r="A3" s="3" t="inlineStr">
        <is>
          <t>t1_1</t>
        </is>
      </c>
      <c r="B3" s="3" t="inlineStr">
        <is>
          <t>荒废野田</t>
        </is>
      </c>
      <c r="C3" s="5" t="inlineStr">
        <is>
          <t>T1</t>
        </is>
      </c>
      <c r="D3" s="6" t="n">
        <v>50</v>
      </c>
      <c r="E3" s="5" t="inlineStr">
        <is>
          <t>低危</t>
        </is>
      </c>
      <c r="F3" s="3" t="inlineStr">
        <is>
          <t>标准</t>
        </is>
      </c>
      <c r="G3" s="6" t="n">
        <v>12</v>
      </c>
      <c r="H3" s="6" t="n">
        <v>5</v>
      </c>
      <c r="I3" s="6" t="n">
        <v>0</v>
      </c>
      <c r="J3" s="5" t="inlineStr">
        <is>
          <t>晴</t>
        </is>
      </c>
      <c r="K3" s="3" t="inlineStr">
        <is>
          <t>狂暴野猪王</t>
        </is>
      </c>
      <c r="L3" s="3" t="inlineStr">
        <is>
          <t>狂暴野猪王</t>
        </is>
      </c>
      <c r="M3" s="11" t="n">
        <v>0.02</v>
      </c>
    </row>
    <row r="4">
      <c r="A4" s="3" t="inlineStr">
        <is>
          <t>t1_2</t>
        </is>
      </c>
      <c r="B4" s="3" t="inlineStr">
        <is>
          <t>风车平原</t>
        </is>
      </c>
      <c r="C4" s="5" t="inlineStr">
        <is>
          <t>T1</t>
        </is>
      </c>
      <c r="D4" s="6" t="n">
        <v>50</v>
      </c>
      <c r="E4" s="5" t="inlineStr">
        <is>
          <t>低危</t>
        </is>
      </c>
      <c r="F4" s="3" t="inlineStr">
        <is>
          <t>开阔：视野+20%</t>
        </is>
      </c>
      <c r="G4" s="6" t="n">
        <v>10</v>
      </c>
      <c r="H4" s="6" t="n">
        <v>5</v>
      </c>
      <c r="I4" s="6" t="n">
        <v>0</v>
      </c>
      <c r="J4" s="5" t="inlineStr">
        <is>
          <t>晴</t>
        </is>
      </c>
      <c r="K4" s="3" t="inlineStr">
        <is>
          <t>狂暴野猪王</t>
        </is>
      </c>
      <c r="L4" s="3" t="inlineStr">
        <is>
          <t>狂暴野猪王</t>
        </is>
      </c>
      <c r="M4" s="11" t="n">
        <v>0.02</v>
      </c>
    </row>
    <row r="5">
      <c r="A5" s="3" t="inlineStr">
        <is>
          <t>t1_3</t>
        </is>
      </c>
      <c r="B5" s="3" t="inlineStr">
        <is>
          <t>青草坡</t>
        </is>
      </c>
      <c r="C5" s="5" t="inlineStr">
        <is>
          <t>T1</t>
        </is>
      </c>
      <c r="D5" s="6" t="n">
        <v>50</v>
      </c>
      <c r="E5" s="5" t="inlineStr">
        <is>
          <t>低危</t>
        </is>
      </c>
      <c r="F5" s="3" t="inlineStr">
        <is>
          <t>多草：怪少2只</t>
        </is>
      </c>
      <c r="G5" s="6" t="n">
        <v>10</v>
      </c>
      <c r="H5" s="6" t="n">
        <v>5</v>
      </c>
      <c r="I5" s="6" t="n">
        <v>0</v>
      </c>
      <c r="J5" s="5" t="inlineStr">
        <is>
          <t>多云</t>
        </is>
      </c>
      <c r="K5" s="3" t="inlineStr">
        <is>
          <t>枯木守卫</t>
        </is>
      </c>
      <c r="L5" s="3" t="inlineStr">
        <is>
          <t>枯木精</t>
        </is>
      </c>
      <c r="M5" s="11" t="n">
        <v>0.02</v>
      </c>
    </row>
    <row r="6">
      <c r="A6" s="3" t="inlineStr">
        <is>
          <t>t1_4</t>
        </is>
      </c>
      <c r="B6" s="3" t="inlineStr">
        <is>
          <t>旧采石场</t>
        </is>
      </c>
      <c r="C6" s="5" t="inlineStr">
        <is>
          <t>T1</t>
        </is>
      </c>
      <c r="D6" s="6" t="n">
        <v>50</v>
      </c>
      <c r="E6" s="5" t="inlineStr">
        <is>
          <t>低危</t>
        </is>
      </c>
      <c r="F6" s="3" t="inlineStr">
        <is>
          <t>多石：障碍多</t>
        </is>
      </c>
      <c r="G6" s="6" t="n">
        <v>14</v>
      </c>
      <c r="H6" s="6" t="n">
        <v>6</v>
      </c>
      <c r="I6" s="6" t="n">
        <v>0</v>
      </c>
      <c r="J6" s="5" t="inlineStr">
        <is>
          <t>多云</t>
        </is>
      </c>
      <c r="K6" s="3" t="inlineStr">
        <is>
          <t>枯木守卫</t>
        </is>
      </c>
      <c r="L6" s="3" t="inlineStr">
        <is>
          <t>枯木精</t>
        </is>
      </c>
      <c r="M6" s="11" t="n">
        <v>0.03</v>
      </c>
    </row>
    <row r="7">
      <c r="A7" s="3" t="inlineStr">
        <is>
          <t>t1_5</t>
        </is>
      </c>
      <c r="B7" s="3" t="inlineStr">
        <is>
          <t>河湾浅滩</t>
        </is>
      </c>
      <c r="C7" s="5" t="inlineStr">
        <is>
          <t>T1</t>
        </is>
      </c>
      <c r="D7" s="6" t="n">
        <v>50</v>
      </c>
      <c r="E7" s="5" t="inlineStr">
        <is>
          <t>低危</t>
        </is>
      </c>
      <c r="F7" s="3" t="inlineStr">
        <is>
          <t>多水：减速区多</t>
        </is>
      </c>
      <c r="G7" s="6" t="n">
        <v>12</v>
      </c>
      <c r="H7" s="6" t="n">
        <v>5</v>
      </c>
      <c r="I7" s="6" t="n">
        <v>0</v>
      </c>
      <c r="J7" s="5" t="inlineStr">
        <is>
          <t>晴</t>
        </is>
      </c>
      <c r="K7" s="3" t="inlineStr">
        <is>
          <t>采石巨魔</t>
        </is>
      </c>
      <c r="L7" s="3" t="inlineStr">
        <is>
          <t>采石巨魔</t>
        </is>
      </c>
      <c r="M7" s="11" t="n">
        <v>0.02</v>
      </c>
    </row>
    <row r="8">
      <c r="A8" s="3" t="inlineStr">
        <is>
          <t>t1_6</t>
        </is>
      </c>
      <c r="B8" s="3" t="inlineStr">
        <is>
          <t>牧道交叉口</t>
        </is>
      </c>
      <c r="C8" s="5" t="inlineStr">
        <is>
          <t>T1</t>
        </is>
      </c>
      <c r="D8" s="6" t="n">
        <v>50</v>
      </c>
      <c r="E8" s="5" t="inlineStr">
        <is>
          <t>低危</t>
        </is>
      </c>
      <c r="F8" s="3" t="inlineStr">
        <is>
          <t>三岔路：撤离点随机</t>
        </is>
      </c>
      <c r="G8" s="6" t="n">
        <v>12</v>
      </c>
      <c r="H8" s="6" t="n">
        <v>6</v>
      </c>
      <c r="I8" s="6" t="n">
        <v>0</v>
      </c>
      <c r="J8" s="5" t="inlineStr">
        <is>
          <t>晴</t>
        </is>
      </c>
      <c r="K8" s="3" t="inlineStr">
        <is>
          <t>采石巨魔</t>
        </is>
      </c>
      <c r="L8" s="3" t="inlineStr">
        <is>
          <t>采石巨魔</t>
        </is>
      </c>
      <c r="M8" s="11" t="n">
        <v>0.02</v>
      </c>
    </row>
    <row r="9">
      <c r="A9" s="3" t="inlineStr">
        <is>
          <t>t2_1</t>
        </is>
      </c>
      <c r="B9" s="3" t="inlineStr">
        <is>
          <t>废弃小农庄</t>
        </is>
      </c>
      <c r="C9" s="5" t="inlineStr">
        <is>
          <t>T2</t>
        </is>
      </c>
      <c r="D9" s="6" t="n">
        <v>250</v>
      </c>
      <c r="E9" s="5" t="inlineStr">
        <is>
          <t>中危</t>
        </is>
      </c>
      <c r="F9" s="3" t="inlineStr">
        <is>
          <t>标准</t>
        </is>
      </c>
      <c r="G9" s="6" t="n">
        <v>18</v>
      </c>
      <c r="H9" s="6" t="n">
        <v>7</v>
      </c>
      <c r="I9" s="6" t="n">
        <v>1</v>
      </c>
      <c r="J9" s="5" t="inlineStr">
        <is>
          <t>雾</t>
        </is>
      </c>
      <c r="K9" s="3" t="inlineStr">
        <is>
          <t>远古魔像</t>
        </is>
      </c>
      <c r="L9" s="3" t="inlineStr">
        <is>
          <t>石像鬼王</t>
        </is>
      </c>
      <c r="M9" s="11" t="n">
        <v>0.1</v>
      </c>
    </row>
    <row r="10">
      <c r="A10" s="3" t="inlineStr">
        <is>
          <t>t2_2</t>
        </is>
      </c>
      <c r="B10" s="3" t="inlineStr">
        <is>
          <t>枯井村落</t>
        </is>
      </c>
      <c r="C10" s="5" t="inlineStr">
        <is>
          <t>T2</t>
        </is>
      </c>
      <c r="D10" s="6" t="n">
        <v>250</v>
      </c>
      <c r="E10" s="5" t="inlineStr">
        <is>
          <t>中危</t>
        </is>
      </c>
      <c r="F10" s="3" t="inlineStr">
        <is>
          <t>多雾：视野-10%</t>
        </is>
      </c>
      <c r="G10" s="6" t="n">
        <v>18</v>
      </c>
      <c r="H10" s="6" t="n">
        <v>7</v>
      </c>
      <c r="I10" s="6" t="n">
        <v>1</v>
      </c>
      <c r="J10" s="5" t="inlineStr">
        <is>
          <t>雾</t>
        </is>
      </c>
      <c r="K10" s="3" t="inlineStr">
        <is>
          <t>远古魔像</t>
        </is>
      </c>
      <c r="L10" s="3" t="inlineStr">
        <is>
          <t>石像鬼王</t>
        </is>
      </c>
      <c r="M10" s="11" t="n">
        <v>0.1</v>
      </c>
    </row>
    <row r="11">
      <c r="A11" s="3" t="inlineStr">
        <is>
          <t>t2_3</t>
        </is>
      </c>
      <c r="B11" s="3" t="inlineStr">
        <is>
          <t>旧磨坊</t>
        </is>
      </c>
      <c r="C11" s="5" t="inlineStr">
        <is>
          <t>T2</t>
        </is>
      </c>
      <c r="D11" s="6" t="n">
        <v>250</v>
      </c>
      <c r="E11" s="5" t="inlineStr">
        <is>
          <t>中危</t>
        </is>
      </c>
      <c r="F11" s="3" t="inlineStr">
        <is>
          <t>狭窄：建筑多</t>
        </is>
      </c>
      <c r="G11" s="6" t="n">
        <v>20</v>
      </c>
      <c r="H11" s="6" t="n">
        <v>8</v>
      </c>
      <c r="I11" s="6" t="n">
        <v>1</v>
      </c>
      <c r="J11" s="5" t="inlineStr">
        <is>
          <t>阴</t>
        </is>
      </c>
      <c r="K11" s="3" t="inlineStr">
        <is>
          <t>磨坊怨灵</t>
        </is>
      </c>
      <c r="L11" s="3" t="inlineStr">
        <is>
          <t>石像鬼王</t>
        </is>
      </c>
      <c r="M11" s="11" t="n">
        <v>0.1</v>
      </c>
    </row>
    <row r="12">
      <c r="A12" s="3" t="inlineStr">
        <is>
          <t>t2_4</t>
        </is>
      </c>
      <c r="B12" s="3" t="inlineStr">
        <is>
          <t>烟熏果园</t>
        </is>
      </c>
      <c r="C12" s="5" t="inlineStr">
        <is>
          <t>T2</t>
        </is>
      </c>
      <c r="D12" s="6" t="n">
        <v>250</v>
      </c>
      <c r="E12" s="5" t="inlineStr">
        <is>
          <t>中危</t>
        </is>
      </c>
      <c r="F12" s="3" t="inlineStr">
        <is>
          <t>密集：埋伏多</t>
        </is>
      </c>
      <c r="G12" s="6" t="n">
        <v>20</v>
      </c>
      <c r="H12" s="6" t="n">
        <v>7</v>
      </c>
      <c r="I12" s="6" t="n">
        <v>1</v>
      </c>
      <c r="J12" s="5" t="inlineStr">
        <is>
          <t>阴</t>
        </is>
      </c>
      <c r="K12" s="3" t="inlineStr">
        <is>
          <t>磨坊怨灵</t>
        </is>
      </c>
      <c r="L12" s="3" t="inlineStr">
        <is>
          <t>废墟魔像</t>
        </is>
      </c>
      <c r="M12" s="11" t="n">
        <v>0.12</v>
      </c>
    </row>
    <row r="13">
      <c r="A13" s="3" t="inlineStr">
        <is>
          <t>t2_5</t>
        </is>
      </c>
      <c r="B13" s="3" t="inlineStr">
        <is>
          <t>断桥废墟</t>
        </is>
      </c>
      <c r="C13" s="5" t="inlineStr">
        <is>
          <t>T2</t>
        </is>
      </c>
      <c r="D13" s="6" t="n">
        <v>250</v>
      </c>
      <c r="E13" s="5" t="inlineStr">
        <is>
          <t>中危</t>
        </is>
      </c>
      <c r="F13" s="3" t="inlineStr">
        <is>
          <t>多坑：坠落掉血</t>
        </is>
      </c>
      <c r="G13" s="6" t="n">
        <v>16</v>
      </c>
      <c r="H13" s="6" t="n">
        <v>8</v>
      </c>
      <c r="I13" s="6" t="n">
        <v>1</v>
      </c>
      <c r="J13" s="5" t="inlineStr">
        <is>
          <t>雨</t>
        </is>
      </c>
      <c r="K13" s="3" t="inlineStr">
        <is>
          <t>远古魔像</t>
        </is>
      </c>
      <c r="L13" s="3" t="inlineStr">
        <is>
          <t>废墟魔像</t>
        </is>
      </c>
      <c r="M13" s="11" t="n">
        <v>0.1</v>
      </c>
    </row>
    <row r="14">
      <c r="A14" s="3" t="inlineStr">
        <is>
          <t>t2_6</t>
        </is>
      </c>
      <c r="B14" s="3" t="inlineStr">
        <is>
          <t>瞭望塔</t>
        </is>
      </c>
      <c r="C14" s="5" t="inlineStr">
        <is>
          <t>T2</t>
        </is>
      </c>
      <c r="D14" s="6" t="n">
        <v>250</v>
      </c>
      <c r="E14" s="5" t="inlineStr">
        <is>
          <t>中危</t>
        </is>
      </c>
      <c r="F14" s="3" t="inlineStr">
        <is>
          <t>高资源：宝箱+2</t>
        </is>
      </c>
      <c r="G14" s="6" t="n">
        <v>18</v>
      </c>
      <c r="H14" s="6" t="n">
        <v>9</v>
      </c>
      <c r="I14" s="6" t="n">
        <v>2</v>
      </c>
      <c r="J14" s="5" t="inlineStr">
        <is>
          <t>晴</t>
        </is>
      </c>
      <c r="K14" s="3" t="inlineStr">
        <is>
          <t>远古魔像</t>
        </is>
      </c>
      <c r="L14" s="3" t="inlineStr">
        <is>
          <t>废墟魔像</t>
        </is>
      </c>
      <c r="M14" s="11" t="n">
        <v>0.14</v>
      </c>
    </row>
    <row r="15">
      <c r="A15" s="3" t="inlineStr">
        <is>
          <t>t3_1</t>
        </is>
      </c>
      <c r="B15" s="3" t="inlineStr">
        <is>
          <t>灾变农田</t>
        </is>
      </c>
      <c r="C15" s="5" t="inlineStr">
        <is>
          <t>T3</t>
        </is>
      </c>
      <c r="D15" s="6" t="n">
        <v>800</v>
      </c>
      <c r="E15" s="5" t="inlineStr">
        <is>
          <t>高危</t>
        </is>
      </c>
      <c r="F15" s="3" t="inlineStr">
        <is>
          <t>标准</t>
        </is>
      </c>
      <c r="G15" s="6" t="n">
        <v>26</v>
      </c>
      <c r="H15" s="6" t="n">
        <v>9</v>
      </c>
      <c r="I15" s="6" t="n">
        <v>2</v>
      </c>
      <c r="J15" s="5" t="inlineStr">
        <is>
          <t>雨</t>
        </is>
      </c>
      <c r="K15" s="3" t="inlineStr">
        <is>
          <t>沼泽女巫</t>
        </is>
      </c>
      <c r="L15" s="3" t="inlineStr">
        <is>
          <t>沼泽巫妪</t>
        </is>
      </c>
      <c r="M15" s="11" t="n">
        <v>0.25</v>
      </c>
    </row>
    <row r="16">
      <c r="A16" s="3" t="inlineStr">
        <is>
          <t>t3_2</t>
        </is>
      </c>
      <c r="B16" s="3" t="inlineStr">
        <is>
          <t>腐殖沼泽</t>
        </is>
      </c>
      <c r="C16" s="5" t="inlineStr">
        <is>
          <t>T3</t>
        </is>
      </c>
      <c r="D16" s="6" t="n">
        <v>800</v>
      </c>
      <c r="E16" s="5" t="inlineStr">
        <is>
          <t>高危</t>
        </is>
      </c>
      <c r="F16" s="3" t="inlineStr">
        <is>
          <t>泥地减速广</t>
        </is>
      </c>
      <c r="G16" s="6" t="n">
        <v>26</v>
      </c>
      <c r="H16" s="6" t="n">
        <v>9</v>
      </c>
      <c r="I16" s="6" t="n">
        <v>2</v>
      </c>
      <c r="J16" s="5" t="inlineStr">
        <is>
          <t>雾</t>
        </is>
      </c>
      <c r="K16" s="3" t="inlineStr">
        <is>
          <t>沼泽女巫</t>
        </is>
      </c>
      <c r="L16" s="3" t="inlineStr">
        <is>
          <t>沼泽巫妪</t>
        </is>
      </c>
      <c r="M16" s="11" t="n">
        <v>0.25</v>
      </c>
    </row>
    <row r="17">
      <c r="A17" s="3" t="inlineStr">
        <is>
          <t>t3_3</t>
        </is>
      </c>
      <c r="B17" s="3" t="inlineStr">
        <is>
          <t>雷击焦林</t>
        </is>
      </c>
      <c r="C17" s="5" t="inlineStr">
        <is>
          <t>T3</t>
        </is>
      </c>
      <c r="D17" s="6" t="n">
        <v>800</v>
      </c>
      <c r="E17" s="5" t="inlineStr">
        <is>
          <t>高危</t>
        </is>
      </c>
      <c r="F17" s="3" t="inlineStr">
        <is>
          <t>雷暴更频繁</t>
        </is>
      </c>
      <c r="G17" s="6" t="n">
        <v>28</v>
      </c>
      <c r="H17" s="6" t="n">
        <v>9</v>
      </c>
      <c r="I17" s="6" t="n">
        <v>2</v>
      </c>
      <c r="J17" s="5" t="inlineStr">
        <is>
          <t>阴</t>
        </is>
      </c>
      <c r="K17" s="3" t="inlineStr">
        <is>
          <t>育母蛛</t>
        </is>
      </c>
      <c r="L17" s="3" t="inlineStr">
        <is>
          <t>虫母</t>
        </is>
      </c>
      <c r="M17" s="11" t="n">
        <v>0.28</v>
      </c>
    </row>
    <row r="18">
      <c r="A18" s="3" t="inlineStr">
        <is>
          <t>t3_4</t>
        </is>
      </c>
      <c r="B18" s="3" t="inlineStr">
        <is>
          <t>虫穴坑道</t>
        </is>
      </c>
      <c r="C18" s="5" t="inlineStr">
        <is>
          <t>T3</t>
        </is>
      </c>
      <c r="D18" s="6" t="n">
        <v>800</v>
      </c>
      <c r="E18" s="5" t="inlineStr">
        <is>
          <t>高危</t>
        </is>
      </c>
      <c r="F18" s="3" t="inlineStr">
        <is>
          <t>小怪密度+30%</t>
        </is>
      </c>
      <c r="G18" s="6" t="n">
        <v>32</v>
      </c>
      <c r="H18" s="6" t="n">
        <v>10</v>
      </c>
      <c r="I18" s="6" t="n">
        <v>2</v>
      </c>
      <c r="J18" s="5" t="inlineStr">
        <is>
          <t>阴</t>
        </is>
      </c>
      <c r="K18" s="3" t="inlineStr">
        <is>
          <t>育母蛛</t>
        </is>
      </c>
      <c r="L18" s="3" t="inlineStr">
        <is>
          <t>虫母</t>
        </is>
      </c>
      <c r="M18" s="11" t="n">
        <v>0.25</v>
      </c>
    </row>
    <row r="19">
      <c r="A19" s="3" t="inlineStr">
        <is>
          <t>t3_5</t>
        </is>
      </c>
      <c r="B19" s="3" t="inlineStr">
        <is>
          <t>血色谷地</t>
        </is>
      </c>
      <c r="C19" s="5" t="inlineStr">
        <is>
          <t>T3</t>
        </is>
      </c>
      <c r="D19" s="6" t="n">
        <v>800</v>
      </c>
      <c r="E19" s="5" t="inlineStr">
        <is>
          <t>高危</t>
        </is>
      </c>
      <c r="F19" s="3" t="inlineStr">
        <is>
          <t>精英率+5%</t>
        </is>
      </c>
      <c r="G19" s="6" t="n">
        <v>26</v>
      </c>
      <c r="H19" s="6" t="n">
        <v>9</v>
      </c>
      <c r="I19" s="6" t="n">
        <v>3</v>
      </c>
      <c r="J19" s="5" t="inlineStr">
        <is>
          <t>雷暴</t>
        </is>
      </c>
      <c r="K19" s="3" t="inlineStr">
        <is>
          <t>暗影刺客</t>
        </is>
      </c>
      <c r="L19" s="3" t="inlineStr">
        <is>
          <t>焦林炎魔</t>
        </is>
      </c>
      <c r="M19" s="11" t="n">
        <v>0.3</v>
      </c>
    </row>
    <row r="20">
      <c r="A20" s="3" t="inlineStr">
        <is>
          <t>t3_6</t>
        </is>
      </c>
      <c r="B20" s="3" t="inlineStr">
        <is>
          <t>废弃温室</t>
        </is>
      </c>
      <c r="C20" s="5" t="inlineStr">
        <is>
          <t>T3</t>
        </is>
      </c>
      <c r="D20" s="6" t="n">
        <v>800</v>
      </c>
      <c r="E20" s="5" t="inlineStr">
        <is>
          <t>高危</t>
        </is>
      </c>
      <c r="F20" s="3" t="inlineStr">
        <is>
          <t>室内：视野-20%</t>
        </is>
      </c>
      <c r="G20" s="6" t="n">
        <v>24</v>
      </c>
      <c r="H20" s="6" t="n">
        <v>11</v>
      </c>
      <c r="I20" s="6" t="n">
        <v>2</v>
      </c>
      <c r="J20" s="5" t="inlineStr">
        <is>
          <t>雷暴</t>
        </is>
      </c>
      <c r="K20" s="3" t="inlineStr">
        <is>
          <t>暗影刺客</t>
        </is>
      </c>
      <c r="L20" s="3" t="inlineStr">
        <is>
          <t>焦林炎魔</t>
        </is>
      </c>
      <c r="M20" s="11" t="n">
        <v>0.32</v>
      </c>
    </row>
    <row r="21">
      <c r="A21" s="3" t="inlineStr">
        <is>
          <t>t4_1</t>
        </is>
      </c>
      <c r="B21" s="3" t="inlineStr">
        <is>
          <t>古老谷场</t>
        </is>
      </c>
      <c r="C21" s="5" t="inlineStr">
        <is>
          <t>T4</t>
        </is>
      </c>
      <c r="D21" s="6" t="n">
        <v>2000</v>
      </c>
      <c r="E21" s="5" t="inlineStr">
        <is>
          <t>绝境</t>
        </is>
      </c>
      <c r="F21" s="3" t="inlineStr">
        <is>
          <t>标准</t>
        </is>
      </c>
      <c r="G21" s="6" t="n">
        <v>36</v>
      </c>
      <c r="H21" s="6" t="n">
        <v>12</v>
      </c>
      <c r="I21" s="6" t="n">
        <v>3</v>
      </c>
      <c r="J21" s="5" t="inlineStr">
        <is>
          <t>雾</t>
        </is>
      </c>
      <c r="K21" s="3" t="inlineStr">
        <is>
          <t>虚空守卫</t>
        </is>
      </c>
      <c r="L21" s="3" t="inlineStr">
        <is>
          <t>深渊领主</t>
        </is>
      </c>
      <c r="M21" s="11" t="n">
        <v>0.45</v>
      </c>
    </row>
    <row r="22">
      <c r="A22" s="3" t="inlineStr">
        <is>
          <t>t4_2</t>
        </is>
      </c>
      <c r="B22" s="3" t="inlineStr">
        <is>
          <t>深渊祭坛</t>
        </is>
      </c>
      <c r="C22" s="5" t="inlineStr">
        <is>
          <t>T4</t>
        </is>
      </c>
      <c r="D22" s="6" t="n">
        <v>2000</v>
      </c>
      <c r="E22" s="5" t="inlineStr">
        <is>
          <t>绝境</t>
        </is>
      </c>
      <c r="F22" s="3" t="inlineStr">
        <is>
          <t>多毒雾区</t>
        </is>
      </c>
      <c r="G22" s="6" t="n">
        <v>36</v>
      </c>
      <c r="H22" s="6" t="n">
        <v>12</v>
      </c>
      <c r="I22" s="6" t="n">
        <v>3</v>
      </c>
      <c r="J22" s="5" t="inlineStr">
        <is>
          <t>毒雾</t>
        </is>
      </c>
      <c r="K22" s="3" t="inlineStr">
        <is>
          <t>虚空守卫</t>
        </is>
      </c>
      <c r="L22" s="3" t="inlineStr">
        <is>
          <t>深渊领主</t>
        </is>
      </c>
      <c r="M22" s="11" t="n">
        <v>0.45</v>
      </c>
    </row>
    <row r="23">
      <c r="A23" s="3" t="inlineStr">
        <is>
          <t>t4_3</t>
        </is>
      </c>
      <c r="B23" s="3" t="inlineStr">
        <is>
          <t>龙骨荒原</t>
        </is>
      </c>
      <c r="C23" s="5" t="inlineStr">
        <is>
          <t>T4</t>
        </is>
      </c>
      <c r="D23" s="6" t="n">
        <v>2000</v>
      </c>
      <c r="E23" s="5" t="inlineStr">
        <is>
          <t>绝境</t>
        </is>
      </c>
      <c r="F23" s="3" t="inlineStr">
        <is>
          <t>开阔：远程怪多</t>
        </is>
      </c>
      <c r="G23" s="6" t="n">
        <v>34</v>
      </c>
      <c r="H23" s="6" t="n">
        <v>12</v>
      </c>
      <c r="I23" s="6" t="n">
        <v>3</v>
      </c>
      <c r="J23" s="5" t="inlineStr">
        <is>
          <t>异常</t>
        </is>
      </c>
      <c r="K23" s="3" t="inlineStr">
        <is>
          <t>虚空守卫</t>
        </is>
      </c>
      <c r="L23" s="3" t="inlineStr">
        <is>
          <t>时空守望</t>
        </is>
      </c>
      <c r="M23" s="11" t="n">
        <v>0.45</v>
      </c>
    </row>
    <row r="24">
      <c r="A24" s="3" t="inlineStr">
        <is>
          <t>t4_4</t>
        </is>
      </c>
      <c r="B24" s="3" t="inlineStr">
        <is>
          <t>时空裂隙</t>
        </is>
      </c>
      <c r="C24" s="5" t="inlineStr">
        <is>
          <t>T4</t>
        </is>
      </c>
      <c r="D24" s="6" t="n">
        <v>2000</v>
      </c>
      <c r="E24" s="5" t="inlineStr">
        <is>
          <t>绝境</t>
        </is>
      </c>
      <c r="F24" s="3" t="inlineStr">
        <is>
          <t>随机传送门</t>
        </is>
      </c>
      <c r="G24" s="6" t="n">
        <v>36</v>
      </c>
      <c r="H24" s="6" t="n">
        <v>13</v>
      </c>
      <c r="I24" s="6" t="n">
        <v>3</v>
      </c>
      <c r="J24" s="5" t="inlineStr">
        <is>
          <t>异常</t>
        </is>
      </c>
      <c r="K24" s="3" t="inlineStr">
        <is>
          <t>虚空守卫</t>
        </is>
      </c>
      <c r="L24" s="3" t="inlineStr">
        <is>
          <t>时空守望</t>
        </is>
      </c>
      <c r="M24" s="11" t="n">
        <v>0.5</v>
      </c>
    </row>
    <row r="25">
      <c r="A25" s="3" t="inlineStr">
        <is>
          <t>t4_5</t>
        </is>
      </c>
      <c r="B25" s="3" t="inlineStr">
        <is>
          <t>月见森林</t>
        </is>
      </c>
      <c r="C25" s="5" t="inlineStr">
        <is>
          <t>T4</t>
        </is>
      </c>
      <c r="D25" s="6" t="n">
        <v>2000</v>
      </c>
      <c r="E25" s="5" t="inlineStr">
        <is>
          <t>绝境</t>
        </is>
      </c>
      <c r="F25" s="3" t="inlineStr">
        <is>
          <t>夜间：荧光怪</t>
        </is>
      </c>
      <c r="G25" s="6" t="n">
        <v>38</v>
      </c>
      <c r="H25" s="6" t="n">
        <v>12</v>
      </c>
      <c r="I25" s="6" t="n">
        <v>4</v>
      </c>
      <c r="J25" s="5" t="inlineStr">
        <is>
          <t>永夜</t>
        </is>
      </c>
      <c r="K25" s="3" t="inlineStr">
        <is>
          <t>月光祭司</t>
        </is>
      </c>
      <c r="L25" s="3" t="inlineStr">
        <is>
          <t>月之祭司</t>
        </is>
      </c>
      <c r="M25" s="11" t="n">
        <v>0.48</v>
      </c>
    </row>
    <row r="26">
      <c r="A26" s="3" t="inlineStr">
        <is>
          <t>t4_6</t>
        </is>
      </c>
      <c r="B26" s="3" t="inlineStr">
        <is>
          <t>远古竞技场</t>
        </is>
      </c>
      <c r="C26" s="5" t="inlineStr">
        <is>
          <t>T4</t>
        </is>
      </c>
      <c r="D26" s="6" t="n">
        <v>2000</v>
      </c>
      <c r="E26" s="5" t="inlineStr">
        <is>
          <t>绝境</t>
        </is>
      </c>
      <c r="F26" s="3" t="inlineStr">
        <is>
          <t>圆形封闭：纯战斗</t>
        </is>
      </c>
      <c r="G26" s="6" t="n">
        <v>40</v>
      </c>
      <c r="H26" s="6" t="n">
        <v>11</v>
      </c>
      <c r="I26" s="6" t="n">
        <v>4</v>
      </c>
      <c r="J26" s="5" t="inlineStr">
        <is>
          <t>晴</t>
        </is>
      </c>
      <c r="K26" s="3" t="inlineStr">
        <is>
          <t>决斗精英</t>
        </is>
      </c>
      <c r="L26" s="3" t="inlineStr">
        <is>
          <t>竞技场冠军</t>
        </is>
      </c>
      <c r="M26" s="11" t="n">
        <v>0.45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</cols>
  <sheetData>
    <row r="1" ht="26" customHeight="1">
      <c r="A1" s="1" t="inlineStr">
        <is>
          <t>农田扩建费用（共 48 格，初始 8 格）</t>
        </is>
      </c>
    </row>
    <row r="2" ht="30" customHeight="1">
      <c r="A2" s="4" t="inlineStr">
        <is>
          <t>格号</t>
        </is>
      </c>
      <c r="B2" s="4" t="inlineStr">
        <is>
          <t>状态</t>
        </is>
      </c>
      <c r="C2" s="4" t="inlineStr">
        <is>
          <t>扩建金币</t>
        </is>
      </c>
      <c r="D2" s="4" t="inlineStr">
        <is>
          <t>扩建纤维</t>
        </is>
      </c>
      <c r="E2" s="4" t="inlineStr">
        <is>
          <t>累计金币</t>
        </is>
      </c>
      <c r="F2" s="4" t="inlineStr">
        <is>
          <t>累计纤维</t>
        </is>
      </c>
    </row>
    <row r="3">
      <c r="A3" s="5" t="n">
        <v>1</v>
      </c>
      <c r="B3" s="5" t="inlineStr">
        <is>
          <t>初始解锁</t>
        </is>
      </c>
      <c r="C3" s="6" t="n">
        <v>0</v>
      </c>
      <c r="D3" s="6" t="n">
        <v>0</v>
      </c>
      <c r="E3" s="6" t="n">
        <v>0</v>
      </c>
      <c r="F3" s="6" t="n">
        <v>0</v>
      </c>
    </row>
    <row r="4">
      <c r="A4" s="5" t="n">
        <v>2</v>
      </c>
      <c r="B4" s="5" t="inlineStr">
        <is>
          <t>初始解锁</t>
        </is>
      </c>
      <c r="C4" s="6" t="n">
        <v>0</v>
      </c>
      <c r="D4" s="6" t="n">
        <v>0</v>
      </c>
      <c r="E4" s="6" t="n">
        <v>0</v>
      </c>
      <c r="F4" s="6" t="n">
        <v>0</v>
      </c>
    </row>
    <row r="5">
      <c r="A5" s="5" t="n">
        <v>3</v>
      </c>
      <c r="B5" s="5" t="inlineStr">
        <is>
          <t>初始解锁</t>
        </is>
      </c>
      <c r="C5" s="6" t="n">
        <v>0</v>
      </c>
      <c r="D5" s="6" t="n">
        <v>0</v>
      </c>
      <c r="E5" s="6" t="n">
        <v>0</v>
      </c>
      <c r="F5" s="6" t="n">
        <v>0</v>
      </c>
    </row>
    <row r="6">
      <c r="A6" s="5" t="n">
        <v>4</v>
      </c>
      <c r="B6" s="5" t="inlineStr">
        <is>
          <t>初始解锁</t>
        </is>
      </c>
      <c r="C6" s="6" t="n">
        <v>0</v>
      </c>
      <c r="D6" s="6" t="n">
        <v>0</v>
      </c>
      <c r="E6" s="6" t="n">
        <v>0</v>
      </c>
      <c r="F6" s="6" t="n">
        <v>0</v>
      </c>
    </row>
    <row r="7">
      <c r="A7" s="5" t="n">
        <v>5</v>
      </c>
      <c r="B7" s="5" t="inlineStr">
        <is>
          <t>初始解锁</t>
        </is>
      </c>
      <c r="C7" s="6" t="n">
        <v>0</v>
      </c>
      <c r="D7" s="6" t="n">
        <v>0</v>
      </c>
      <c r="E7" s="6" t="n">
        <v>0</v>
      </c>
      <c r="F7" s="6" t="n">
        <v>0</v>
      </c>
    </row>
    <row r="8">
      <c r="A8" s="5" t="n">
        <v>6</v>
      </c>
      <c r="B8" s="5" t="inlineStr">
        <is>
          <t>初始解锁</t>
        </is>
      </c>
      <c r="C8" s="6" t="n">
        <v>0</v>
      </c>
      <c r="D8" s="6" t="n">
        <v>0</v>
      </c>
      <c r="E8" s="6" t="n">
        <v>0</v>
      </c>
      <c r="F8" s="6" t="n">
        <v>0</v>
      </c>
    </row>
    <row r="9">
      <c r="A9" s="5" t="n">
        <v>7</v>
      </c>
      <c r="B9" s="5" t="inlineStr">
        <is>
          <t>初始解锁</t>
        </is>
      </c>
      <c r="C9" s="6" t="n">
        <v>0</v>
      </c>
      <c r="D9" s="6" t="n">
        <v>0</v>
      </c>
      <c r="E9" s="6" t="n">
        <v>0</v>
      </c>
      <c r="F9" s="6" t="n">
        <v>0</v>
      </c>
    </row>
    <row r="10">
      <c r="A10" s="5" t="n">
        <v>8</v>
      </c>
      <c r="B10" s="5" t="inlineStr">
        <is>
          <t>初始解锁</t>
        </is>
      </c>
      <c r="C10" s="6" t="n">
        <v>0</v>
      </c>
      <c r="D10" s="6" t="n">
        <v>0</v>
      </c>
      <c r="E10" s="6" t="n">
        <v>0</v>
      </c>
      <c r="F10" s="6" t="n">
        <v>0</v>
      </c>
    </row>
    <row r="11">
      <c r="A11" s="5" t="n">
        <v>9</v>
      </c>
      <c r="B11" s="5" t="inlineStr">
        <is>
          <t>扩建</t>
        </is>
      </c>
      <c r="C11" s="6" t="n">
        <v>90</v>
      </c>
      <c r="D11" s="6" t="n">
        <v>0</v>
      </c>
      <c r="E11" s="6">
        <f>C11</f>
        <v/>
      </c>
      <c r="F11" s="6">
        <f>D11</f>
        <v/>
      </c>
    </row>
    <row r="12">
      <c r="A12" s="5" t="n">
        <v>10</v>
      </c>
      <c r="B12" s="5" t="inlineStr">
        <is>
          <t>扩建</t>
        </is>
      </c>
      <c r="C12" s="6" t="n">
        <v>125</v>
      </c>
      <c r="D12" s="6" t="n">
        <v>0</v>
      </c>
      <c r="E12" s="6">
        <f>E11+C12</f>
        <v/>
      </c>
      <c r="F12" s="6">
        <f>F11+D12</f>
        <v/>
      </c>
    </row>
    <row r="13">
      <c r="A13" s="5" t="n">
        <v>11</v>
      </c>
      <c r="B13" s="5" t="inlineStr">
        <is>
          <t>扩建</t>
        </is>
      </c>
      <c r="C13" s="6" t="n">
        <v>160</v>
      </c>
      <c r="D13" s="6" t="n">
        <v>0</v>
      </c>
      <c r="E13" s="6">
        <f>E12+C13</f>
        <v/>
      </c>
      <c r="F13" s="6">
        <f>F12+D13</f>
        <v/>
      </c>
    </row>
    <row r="14">
      <c r="A14" s="5" t="n">
        <v>12</v>
      </c>
      <c r="B14" s="5" t="inlineStr">
        <is>
          <t>扩建</t>
        </is>
      </c>
      <c r="C14" s="6" t="n">
        <v>195</v>
      </c>
      <c r="D14" s="6" t="n">
        <v>0</v>
      </c>
      <c r="E14" s="6">
        <f>E13+C14</f>
        <v/>
      </c>
      <c r="F14" s="6">
        <f>F13+D14</f>
        <v/>
      </c>
    </row>
    <row r="15">
      <c r="A15" s="5" t="n">
        <v>13</v>
      </c>
      <c r="B15" s="5" t="inlineStr">
        <is>
          <t>扩建</t>
        </is>
      </c>
      <c r="C15" s="6" t="n">
        <v>230</v>
      </c>
      <c r="D15" s="6" t="n">
        <v>1</v>
      </c>
      <c r="E15" s="6">
        <f>E14+C15</f>
        <v/>
      </c>
      <c r="F15" s="6">
        <f>F14+D15</f>
        <v/>
      </c>
    </row>
    <row r="16">
      <c r="A16" s="5" t="n">
        <v>14</v>
      </c>
      <c r="B16" s="5" t="inlineStr">
        <is>
          <t>扩建</t>
        </is>
      </c>
      <c r="C16" s="6" t="n">
        <v>265</v>
      </c>
      <c r="D16" s="6" t="n">
        <v>1</v>
      </c>
      <c r="E16" s="6">
        <f>E15+C16</f>
        <v/>
      </c>
      <c r="F16" s="6">
        <f>F15+D16</f>
        <v/>
      </c>
    </row>
    <row r="17">
      <c r="A17" s="5" t="n">
        <v>15</v>
      </c>
      <c r="B17" s="5" t="inlineStr">
        <is>
          <t>扩建</t>
        </is>
      </c>
      <c r="C17" s="6" t="n">
        <v>300</v>
      </c>
      <c r="D17" s="6" t="n">
        <v>1</v>
      </c>
      <c r="E17" s="6">
        <f>E16+C17</f>
        <v/>
      </c>
      <c r="F17" s="6">
        <f>F16+D17</f>
        <v/>
      </c>
    </row>
    <row r="18">
      <c r="A18" s="5" t="n">
        <v>16</v>
      </c>
      <c r="B18" s="5" t="inlineStr">
        <is>
          <t>扩建</t>
        </is>
      </c>
      <c r="C18" s="6" t="n">
        <v>335</v>
      </c>
      <c r="D18" s="6" t="n">
        <v>1</v>
      </c>
      <c r="E18" s="6">
        <f>E17+C18</f>
        <v/>
      </c>
      <c r="F18" s="6">
        <f>F17+D18</f>
        <v/>
      </c>
    </row>
    <row r="19">
      <c r="A19" s="5" t="n">
        <v>17</v>
      </c>
      <c r="B19" s="5" t="inlineStr">
        <is>
          <t>扩建</t>
        </is>
      </c>
      <c r="C19" s="6" t="n">
        <v>370</v>
      </c>
      <c r="D19" s="6" t="n">
        <v>1</v>
      </c>
      <c r="E19" s="6">
        <f>E18+C19</f>
        <v/>
      </c>
      <c r="F19" s="6">
        <f>F18+D19</f>
        <v/>
      </c>
    </row>
    <row r="20">
      <c r="A20" s="5" t="n">
        <v>18</v>
      </c>
      <c r="B20" s="5" t="inlineStr">
        <is>
          <t>扩建</t>
        </is>
      </c>
      <c r="C20" s="6" t="n">
        <v>405</v>
      </c>
      <c r="D20" s="6" t="n">
        <v>2</v>
      </c>
      <c r="E20" s="6">
        <f>E19+C20</f>
        <v/>
      </c>
      <c r="F20" s="6">
        <f>F19+D20</f>
        <v/>
      </c>
    </row>
    <row r="21">
      <c r="A21" s="5" t="n">
        <v>19</v>
      </c>
      <c r="B21" s="5" t="inlineStr">
        <is>
          <t>扩建</t>
        </is>
      </c>
      <c r="C21" s="6" t="n">
        <v>440</v>
      </c>
      <c r="D21" s="6" t="n">
        <v>2</v>
      </c>
      <c r="E21" s="6">
        <f>E20+C21</f>
        <v/>
      </c>
      <c r="F21" s="6">
        <f>F20+D21</f>
        <v/>
      </c>
    </row>
    <row r="22">
      <c r="A22" s="5" t="n">
        <v>20</v>
      </c>
      <c r="B22" s="5" t="inlineStr">
        <is>
          <t>扩建</t>
        </is>
      </c>
      <c r="C22" s="6" t="n">
        <v>475</v>
      </c>
      <c r="D22" s="6" t="n">
        <v>2</v>
      </c>
      <c r="E22" s="6">
        <f>E21+C22</f>
        <v/>
      </c>
      <c r="F22" s="6">
        <f>F21+D22</f>
        <v/>
      </c>
    </row>
    <row r="23">
      <c r="A23" s="5" t="n">
        <v>21</v>
      </c>
      <c r="B23" s="5" t="inlineStr">
        <is>
          <t>扩建</t>
        </is>
      </c>
      <c r="C23" s="6" t="n">
        <v>510</v>
      </c>
      <c r="D23" s="6" t="n">
        <v>2</v>
      </c>
      <c r="E23" s="6">
        <f>E22+C23</f>
        <v/>
      </c>
      <c r="F23" s="6">
        <f>F22+D23</f>
        <v/>
      </c>
    </row>
    <row r="24">
      <c r="A24" s="5" t="n">
        <v>22</v>
      </c>
      <c r="B24" s="5" t="inlineStr">
        <is>
          <t>扩建</t>
        </is>
      </c>
      <c r="C24" s="6" t="n">
        <v>545</v>
      </c>
      <c r="D24" s="6" t="n">
        <v>2</v>
      </c>
      <c r="E24" s="6">
        <f>E23+C24</f>
        <v/>
      </c>
      <c r="F24" s="6">
        <f>F23+D24</f>
        <v/>
      </c>
    </row>
    <row r="25">
      <c r="A25" s="5" t="n">
        <v>23</v>
      </c>
      <c r="B25" s="5" t="inlineStr">
        <is>
          <t>扩建</t>
        </is>
      </c>
      <c r="C25" s="6" t="n">
        <v>580</v>
      </c>
      <c r="D25" s="6" t="n">
        <v>3</v>
      </c>
      <c r="E25" s="6">
        <f>E24+C25</f>
        <v/>
      </c>
      <c r="F25" s="6">
        <f>F24+D25</f>
        <v/>
      </c>
    </row>
    <row r="26">
      <c r="A26" s="5" t="n">
        <v>24</v>
      </c>
      <c r="B26" s="5" t="inlineStr">
        <is>
          <t>扩建</t>
        </is>
      </c>
      <c r="C26" s="6" t="n">
        <v>615</v>
      </c>
      <c r="D26" s="6" t="n">
        <v>3</v>
      </c>
      <c r="E26" s="6">
        <f>E25+C26</f>
        <v/>
      </c>
      <c r="F26" s="6">
        <f>F25+D26</f>
        <v/>
      </c>
    </row>
    <row r="27">
      <c r="A27" s="5" t="n">
        <v>25</v>
      </c>
      <c r="B27" s="5" t="inlineStr">
        <is>
          <t>扩建</t>
        </is>
      </c>
      <c r="C27" s="6" t="n">
        <v>650</v>
      </c>
      <c r="D27" s="6" t="n">
        <v>3</v>
      </c>
      <c r="E27" s="6">
        <f>E26+C27</f>
        <v/>
      </c>
      <c r="F27" s="6">
        <f>F26+D27</f>
        <v/>
      </c>
    </row>
    <row r="28">
      <c r="A28" s="5" t="n">
        <v>26</v>
      </c>
      <c r="B28" s="5" t="inlineStr">
        <is>
          <t>扩建</t>
        </is>
      </c>
      <c r="C28" s="6" t="n">
        <v>685</v>
      </c>
      <c r="D28" s="6" t="n">
        <v>3</v>
      </c>
      <c r="E28" s="6">
        <f>E27+C28</f>
        <v/>
      </c>
      <c r="F28" s="6">
        <f>F27+D28</f>
        <v/>
      </c>
    </row>
    <row r="29">
      <c r="A29" s="5" t="n">
        <v>27</v>
      </c>
      <c r="B29" s="5" t="inlineStr">
        <is>
          <t>扩建</t>
        </is>
      </c>
      <c r="C29" s="6" t="n">
        <v>720</v>
      </c>
      <c r="D29" s="6" t="n">
        <v>3</v>
      </c>
      <c r="E29" s="6">
        <f>E28+C29</f>
        <v/>
      </c>
      <c r="F29" s="6">
        <f>F28+D29</f>
        <v/>
      </c>
    </row>
    <row r="30">
      <c r="A30" s="5" t="n">
        <v>28</v>
      </c>
      <c r="B30" s="5" t="inlineStr">
        <is>
          <t>扩建</t>
        </is>
      </c>
      <c r="C30" s="6" t="n">
        <v>755</v>
      </c>
      <c r="D30" s="6" t="n">
        <v>4</v>
      </c>
      <c r="E30" s="6">
        <f>E29+C30</f>
        <v/>
      </c>
      <c r="F30" s="6">
        <f>F29+D30</f>
        <v/>
      </c>
    </row>
    <row r="31">
      <c r="A31" s="5" t="n">
        <v>29</v>
      </c>
      <c r="B31" s="5" t="inlineStr">
        <is>
          <t>扩建</t>
        </is>
      </c>
      <c r="C31" s="6" t="n">
        <v>790</v>
      </c>
      <c r="D31" s="6" t="n">
        <v>4</v>
      </c>
      <c r="E31" s="6">
        <f>E30+C31</f>
        <v/>
      </c>
      <c r="F31" s="6">
        <f>F30+D31</f>
        <v/>
      </c>
    </row>
    <row r="32">
      <c r="A32" s="5" t="n">
        <v>30</v>
      </c>
      <c r="B32" s="5" t="inlineStr">
        <is>
          <t>扩建</t>
        </is>
      </c>
      <c r="C32" s="6" t="n">
        <v>825</v>
      </c>
      <c r="D32" s="6" t="n">
        <v>4</v>
      </c>
      <c r="E32" s="6">
        <f>E31+C32</f>
        <v/>
      </c>
      <c r="F32" s="6">
        <f>F31+D32</f>
        <v/>
      </c>
    </row>
    <row r="33">
      <c r="A33" s="5" t="n">
        <v>31</v>
      </c>
      <c r="B33" s="5" t="inlineStr">
        <is>
          <t>扩建</t>
        </is>
      </c>
      <c r="C33" s="6" t="n">
        <v>860</v>
      </c>
      <c r="D33" s="6" t="n">
        <v>4</v>
      </c>
      <c r="E33" s="6">
        <f>E32+C33</f>
        <v/>
      </c>
      <c r="F33" s="6">
        <f>F32+D33</f>
        <v/>
      </c>
    </row>
    <row r="34">
      <c r="A34" s="5" t="n">
        <v>32</v>
      </c>
      <c r="B34" s="5" t="inlineStr">
        <is>
          <t>扩建</t>
        </is>
      </c>
      <c r="C34" s="6" t="n">
        <v>895</v>
      </c>
      <c r="D34" s="6" t="n">
        <v>4</v>
      </c>
      <c r="E34" s="6">
        <f>E33+C34</f>
        <v/>
      </c>
      <c r="F34" s="6">
        <f>F33+D34</f>
        <v/>
      </c>
    </row>
    <row r="35">
      <c r="A35" s="5" t="n">
        <v>33</v>
      </c>
      <c r="B35" s="5" t="inlineStr">
        <is>
          <t>扩建</t>
        </is>
      </c>
      <c r="C35" s="6" t="n">
        <v>930</v>
      </c>
      <c r="D35" s="6" t="n">
        <v>5</v>
      </c>
      <c r="E35" s="6">
        <f>E34+C35</f>
        <v/>
      </c>
      <c r="F35" s="6">
        <f>F34+D35</f>
        <v/>
      </c>
    </row>
    <row r="36">
      <c r="A36" s="5" t="n">
        <v>34</v>
      </c>
      <c r="B36" s="5" t="inlineStr">
        <is>
          <t>扩建</t>
        </is>
      </c>
      <c r="C36" s="6" t="n">
        <v>965</v>
      </c>
      <c r="D36" s="6" t="n">
        <v>5</v>
      </c>
      <c r="E36" s="6">
        <f>E35+C36</f>
        <v/>
      </c>
      <c r="F36" s="6">
        <f>F35+D36</f>
        <v/>
      </c>
    </row>
    <row r="37">
      <c r="A37" s="5" t="n">
        <v>35</v>
      </c>
      <c r="B37" s="5" t="inlineStr">
        <is>
          <t>扩建</t>
        </is>
      </c>
      <c r="C37" s="6" t="n">
        <v>1000</v>
      </c>
      <c r="D37" s="6" t="n">
        <v>5</v>
      </c>
      <c r="E37" s="6">
        <f>E36+C37</f>
        <v/>
      </c>
      <c r="F37" s="6">
        <f>F36+D37</f>
        <v/>
      </c>
    </row>
    <row r="38">
      <c r="A38" s="5" t="n">
        <v>36</v>
      </c>
      <c r="B38" s="5" t="inlineStr">
        <is>
          <t>扩建</t>
        </is>
      </c>
      <c r="C38" s="6" t="n">
        <v>1035</v>
      </c>
      <c r="D38" s="6" t="n">
        <v>5</v>
      </c>
      <c r="E38" s="6">
        <f>E37+C38</f>
        <v/>
      </c>
      <c r="F38" s="6">
        <f>F37+D38</f>
        <v/>
      </c>
    </row>
    <row r="39">
      <c r="A39" s="5" t="n">
        <v>37</v>
      </c>
      <c r="B39" s="5" t="inlineStr">
        <is>
          <t>扩建</t>
        </is>
      </c>
      <c r="C39" s="6" t="n">
        <v>1070</v>
      </c>
      <c r="D39" s="6" t="n">
        <v>5</v>
      </c>
      <c r="E39" s="6">
        <f>E38+C39</f>
        <v/>
      </c>
      <c r="F39" s="6">
        <f>F38+D39</f>
        <v/>
      </c>
    </row>
    <row r="40">
      <c r="A40" s="5" t="n">
        <v>38</v>
      </c>
      <c r="B40" s="5" t="inlineStr">
        <is>
          <t>扩建</t>
        </is>
      </c>
      <c r="C40" s="6" t="n">
        <v>1105</v>
      </c>
      <c r="D40" s="6" t="n">
        <v>6</v>
      </c>
      <c r="E40" s="6">
        <f>E39+C40</f>
        <v/>
      </c>
      <c r="F40" s="6">
        <f>F39+D40</f>
        <v/>
      </c>
    </row>
    <row r="41">
      <c r="A41" s="5" t="n">
        <v>39</v>
      </c>
      <c r="B41" s="5" t="inlineStr">
        <is>
          <t>扩建</t>
        </is>
      </c>
      <c r="C41" s="6" t="n">
        <v>1140</v>
      </c>
      <c r="D41" s="6" t="n">
        <v>6</v>
      </c>
      <c r="E41" s="6">
        <f>E40+C41</f>
        <v/>
      </c>
      <c r="F41" s="6">
        <f>F40+D41</f>
        <v/>
      </c>
    </row>
    <row r="42">
      <c r="A42" s="5" t="n">
        <v>40</v>
      </c>
      <c r="B42" s="5" t="inlineStr">
        <is>
          <t>扩建</t>
        </is>
      </c>
      <c r="C42" s="6" t="n">
        <v>1175</v>
      </c>
      <c r="D42" s="6" t="n">
        <v>6</v>
      </c>
      <c r="E42" s="6">
        <f>E41+C42</f>
        <v/>
      </c>
      <c r="F42" s="6">
        <f>F41+D42</f>
        <v/>
      </c>
    </row>
    <row r="43">
      <c r="A43" s="5" t="n">
        <v>41</v>
      </c>
      <c r="B43" s="5" t="inlineStr">
        <is>
          <t>扩建</t>
        </is>
      </c>
      <c r="C43" s="6" t="n">
        <v>1210</v>
      </c>
      <c r="D43" s="6" t="n">
        <v>6</v>
      </c>
      <c r="E43" s="6">
        <f>E42+C43</f>
        <v/>
      </c>
      <c r="F43" s="6">
        <f>F42+D43</f>
        <v/>
      </c>
    </row>
    <row r="44">
      <c r="A44" s="5" t="n">
        <v>42</v>
      </c>
      <c r="B44" s="5" t="inlineStr">
        <is>
          <t>扩建</t>
        </is>
      </c>
      <c r="C44" s="6" t="n">
        <v>1245</v>
      </c>
      <c r="D44" s="6" t="n">
        <v>6</v>
      </c>
      <c r="E44" s="6">
        <f>E43+C44</f>
        <v/>
      </c>
      <c r="F44" s="6">
        <f>F43+D44</f>
        <v/>
      </c>
    </row>
    <row r="45">
      <c r="A45" s="5" t="n">
        <v>43</v>
      </c>
      <c r="B45" s="5" t="inlineStr">
        <is>
          <t>扩建</t>
        </is>
      </c>
      <c r="C45" s="6" t="n">
        <v>1280</v>
      </c>
      <c r="D45" s="6" t="n">
        <v>7</v>
      </c>
      <c r="E45" s="6">
        <f>E44+C45</f>
        <v/>
      </c>
      <c r="F45" s="6">
        <f>F44+D45</f>
        <v/>
      </c>
    </row>
    <row r="46">
      <c r="A46" s="5" t="n">
        <v>44</v>
      </c>
      <c r="B46" s="5" t="inlineStr">
        <is>
          <t>扩建</t>
        </is>
      </c>
      <c r="C46" s="6" t="n">
        <v>1315</v>
      </c>
      <c r="D46" s="6" t="n">
        <v>7</v>
      </c>
      <c r="E46" s="6">
        <f>E45+C46</f>
        <v/>
      </c>
      <c r="F46" s="6">
        <f>F45+D46</f>
        <v/>
      </c>
    </row>
    <row r="47">
      <c r="A47" s="5" t="n">
        <v>45</v>
      </c>
      <c r="B47" s="5" t="inlineStr">
        <is>
          <t>扩建</t>
        </is>
      </c>
      <c r="C47" s="6" t="n">
        <v>1350</v>
      </c>
      <c r="D47" s="6" t="n">
        <v>7</v>
      </c>
      <c r="E47" s="6">
        <f>E46+C47</f>
        <v/>
      </c>
      <c r="F47" s="6">
        <f>F46+D47</f>
        <v/>
      </c>
    </row>
    <row r="48">
      <c r="A48" s="5" t="n">
        <v>46</v>
      </c>
      <c r="B48" s="5" t="inlineStr">
        <is>
          <t>扩建</t>
        </is>
      </c>
      <c r="C48" s="6" t="n">
        <v>1385</v>
      </c>
      <c r="D48" s="6" t="n">
        <v>7</v>
      </c>
      <c r="E48" s="6">
        <f>E47+C48</f>
        <v/>
      </c>
      <c r="F48" s="6">
        <f>F47+D48</f>
        <v/>
      </c>
    </row>
    <row r="49">
      <c r="A49" s="5" t="n">
        <v>47</v>
      </c>
      <c r="B49" s="5" t="inlineStr">
        <is>
          <t>扩建</t>
        </is>
      </c>
      <c r="C49" s="6" t="n">
        <v>1420</v>
      </c>
      <c r="D49" s="6" t="n">
        <v>7</v>
      </c>
      <c r="E49" s="6">
        <f>E48+C49</f>
        <v/>
      </c>
      <c r="F49" s="6">
        <f>F48+D49</f>
        <v/>
      </c>
    </row>
    <row r="50">
      <c r="A50" s="5" t="n">
        <v>48</v>
      </c>
      <c r="B50" s="5" t="inlineStr">
        <is>
          <t>扩建</t>
        </is>
      </c>
      <c r="C50" s="6" t="n">
        <v>1455</v>
      </c>
      <c r="D50" s="6" t="n">
        <v>8</v>
      </c>
      <c r="E50" s="6">
        <f>E49+C50</f>
        <v/>
      </c>
      <c r="F50" s="6">
        <f>F49+D50</f>
        <v/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</cols>
  <sheetData>
    <row r="1" ht="26" customHeight="1">
      <c r="A1" s="1" t="inlineStr">
        <is>
          <t>玩家基础属性与远征全局参数</t>
        </is>
      </c>
    </row>
    <row r="2" ht="30" customHeight="1">
      <c r="A2" s="4" t="inlineStr">
        <is>
          <t>分组</t>
        </is>
      </c>
      <c r="B2" s="4" t="inlineStr">
        <is>
          <t>参数</t>
        </is>
      </c>
      <c r="C2" s="4" t="inlineStr">
        <is>
          <t>数值</t>
        </is>
      </c>
    </row>
    <row r="3">
      <c r="A3" s="5" t="inlineStr">
        <is>
          <t>玩家</t>
        </is>
      </c>
      <c r="B3" s="3" t="inlineStr">
        <is>
          <t>最大生命</t>
        </is>
      </c>
      <c r="C3" s="6" t="n">
        <v>100</v>
      </c>
    </row>
    <row r="4">
      <c r="A4" s="5" t="inlineStr">
        <is>
          <t>玩家</t>
        </is>
      </c>
      <c r="B4" s="3" t="inlineStr">
        <is>
          <t>最大能量</t>
        </is>
      </c>
      <c r="C4" s="6" t="n">
        <v>100</v>
      </c>
    </row>
    <row r="5">
      <c r="A5" s="5" t="inlineStr">
        <is>
          <t>玩家</t>
        </is>
      </c>
      <c r="B5" s="3" t="inlineStr">
        <is>
          <t>移动速度</t>
        </is>
      </c>
      <c r="C5" s="6" t="n">
        <v>220</v>
      </c>
    </row>
    <row r="6">
      <c r="A6" s="5" t="inlineStr">
        <is>
          <t>玩家</t>
        </is>
      </c>
      <c r="B6" s="3" t="inlineStr">
        <is>
          <t>冲刺速度</t>
        </is>
      </c>
      <c r="C6" s="6" t="n">
        <v>380</v>
      </c>
    </row>
    <row r="7">
      <c r="A7" s="5" t="inlineStr">
        <is>
          <t>玩家</t>
        </is>
      </c>
      <c r="B7" s="3" t="inlineStr">
        <is>
          <t>冲刺能量消耗</t>
        </is>
      </c>
      <c r="C7" s="6" t="n">
        <v>30</v>
      </c>
    </row>
    <row r="8">
      <c r="A8" s="5" t="inlineStr">
        <is>
          <t>玩家</t>
        </is>
      </c>
      <c r="B8" s="3" t="inlineStr">
        <is>
          <t>能量回复/s</t>
        </is>
      </c>
      <c r="C8" s="6" t="n">
        <v>15</v>
      </c>
    </row>
    <row r="9">
      <c r="A9" s="5" t="inlineStr">
        <is>
          <t>玩家</t>
        </is>
      </c>
      <c r="B9" s="3" t="inlineStr">
        <is>
          <t>徒手伤害</t>
        </is>
      </c>
      <c r="C9" s="6" t="n">
        <v>12</v>
      </c>
    </row>
    <row r="10">
      <c r="A10" s="5" t="inlineStr">
        <is>
          <t>玩家</t>
        </is>
      </c>
      <c r="B10" s="3" t="inlineStr">
        <is>
          <t>徒手攻击范围</t>
        </is>
      </c>
      <c r="C10" s="6" t="n">
        <v>60</v>
      </c>
    </row>
    <row r="11">
      <c r="A11" s="5" t="inlineStr">
        <is>
          <t>玩家</t>
        </is>
      </c>
      <c r="B11" s="3" t="inlineStr">
        <is>
          <t>徒手攻击间隔(s)</t>
        </is>
      </c>
      <c r="C11" s="6" t="n">
        <v>0.5</v>
      </c>
    </row>
    <row r="12">
      <c r="A12" s="5" t="inlineStr">
        <is>
          <t>远征</t>
        </is>
      </c>
      <c r="B12" s="3" t="inlineStr">
        <is>
          <t>一局时长(s)</t>
        </is>
      </c>
      <c r="C12" s="6" t="n">
        <v>720</v>
      </c>
    </row>
    <row r="13">
      <c r="A13" s="5" t="inlineStr">
        <is>
          <t>远征</t>
        </is>
      </c>
      <c r="B13" s="3" t="inlineStr">
        <is>
          <t>地图尺寸(px)</t>
        </is>
      </c>
      <c r="C13" s="6" t="n">
        <v>2400</v>
      </c>
    </row>
    <row r="14">
      <c r="A14" s="5" t="inlineStr">
        <is>
          <t>远征</t>
        </is>
      </c>
      <c r="B14" s="3" t="inlineStr">
        <is>
          <t>常规撤离读条(s)</t>
        </is>
      </c>
      <c r="C14" s="6" t="n">
        <v>15</v>
      </c>
    </row>
    <row r="15">
      <c r="A15" s="5" t="inlineStr">
        <is>
          <t>远征</t>
        </is>
      </c>
      <c r="B15" s="3" t="inlineStr">
        <is>
          <t>信号弹撤离读条(s)</t>
        </is>
      </c>
      <c r="C15" s="6" t="n">
        <v>20</v>
      </c>
    </row>
    <row r="16">
      <c r="A16" s="5" t="inlineStr">
        <is>
          <t>能量(技能资源)</t>
        </is>
      </c>
      <c r="B16" s="3" t="inlineStr">
        <is>
          <t>初始能量</t>
        </is>
      </c>
      <c r="C16" s="6" t="n">
        <v>30</v>
      </c>
    </row>
    <row r="17">
      <c r="A17" s="5" t="inlineStr">
        <is>
          <t>能量(技能资源)</t>
        </is>
      </c>
      <c r="B17" s="3" t="inlineStr">
        <is>
          <t>能量上限</t>
        </is>
      </c>
      <c r="C17" s="6" t="n">
        <v>200</v>
      </c>
    </row>
    <row r="18">
      <c r="A18" s="5" t="inlineStr">
        <is>
          <t>能量(技能资源)</t>
        </is>
      </c>
      <c r="B18" s="3" t="inlineStr">
        <is>
          <t>晶核回复量</t>
        </is>
      </c>
      <c r="C18" s="6" t="n">
        <v>5</v>
      </c>
    </row>
    <row r="19">
      <c r="A19" s="5" t="inlineStr">
        <is>
          <t>能量(技能资源)</t>
        </is>
      </c>
      <c r="B19" s="3" t="inlineStr">
        <is>
          <t>晶核回复间隔(s)</t>
        </is>
      </c>
      <c r="C19" s="6" t="n">
        <v>20</v>
      </c>
    </row>
    <row r="20">
      <c r="A20" s="5" t="inlineStr">
        <is>
          <t>能量(技能资源)</t>
        </is>
      </c>
      <c r="B20" s="3" t="inlineStr">
        <is>
          <t>普通击杀回复</t>
        </is>
      </c>
      <c r="C20" s="6" t="n">
        <v>2</v>
      </c>
    </row>
    <row r="21">
      <c r="A21" s="5" t="inlineStr">
        <is>
          <t>能量(技能资源)</t>
        </is>
      </c>
      <c r="B21" s="3" t="inlineStr">
        <is>
          <t>精英击杀回复</t>
        </is>
      </c>
      <c r="C21" s="6" t="n">
        <v>8</v>
      </c>
    </row>
    <row r="22">
      <c r="A22" s="5" t="inlineStr">
        <is>
          <t>技能卡槽</t>
        </is>
      </c>
      <c r="B22" s="3" t="inlineStr">
        <is>
          <t>卡槽等级门槛</t>
        </is>
      </c>
      <c r="C22" s="3" t="inlineStr">
        <is>
          <t>Lv1 / 20 / 40 / 60 / 80 → 1 / 2 / 3 / 4 / 5 槽</t>
        </is>
      </c>
    </row>
    <row r="23">
      <c r="A23" s="5" t="inlineStr">
        <is>
          <t>消耗品携带</t>
        </is>
      </c>
      <c r="B23" s="3" t="inlineStr">
        <is>
          <t>准备大厅携带上限</t>
        </is>
      </c>
      <c r="C23" s="3" t="inlineStr">
        <is>
          <t>5 件（仅草药包扎包/荆棘狂潮/撤离信号弹三种战术品）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2026-09-19T06:52:20Z</dcterms:created>
  <dcterms:modified xsi:type="dcterms:W3CDTF">2026-09-19T06:52:20Z</dcterms:modified>
</cp:coreProperties>
</file>